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DELIVERY_STATUS" sheetId="1" state="visible" r:id="rId1"/>
    <sheet xmlns:r="http://schemas.openxmlformats.org/officeDocument/2006/relationships" name="MASTER_TRACK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FFFFFF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color rgb="FF006100"/>
      <sz val="11"/>
    </font>
    <font>
      <name val="Calibri"/>
      <color rgb="FFBF8F00"/>
      <sz val="11"/>
    </font>
    <font>
      <name val="Calibri"/>
      <b val="1"/>
      <color rgb="FFBF8F00"/>
      <sz val="11"/>
    </font>
    <font>
      <name val="Calibri"/>
      <i val="1"/>
      <color rgb="FFFFFFFF"/>
      <sz val="10"/>
    </font>
    <font>
      <name val="Calibri"/>
      <b val="1"/>
      <sz val="12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sz val="11"/>
    </font>
    <font>
      <name val="Calibri"/>
      <color rgb="FFC00000"/>
      <sz val="11"/>
    </font>
    <font>
      <name val="Calibri"/>
      <b val="1"/>
      <color rgb="FF008000"/>
      <sz val="11"/>
    </font>
    <font>
      <name val="Calibri"/>
      <color rgb="FF008000"/>
      <sz val="11"/>
    </font>
    <font>
      <name val="Calibri"/>
      <b val="1"/>
      <color rgb="FFC00000"/>
      <sz val="11"/>
    </font>
    <font>
      <name val="Calibri"/>
      <b val="1"/>
      <color rgb="FFC00000"/>
      <sz val="12"/>
    </font>
    <font>
      <name val="Calibri"/>
      <b val="1"/>
      <color rgb="FF000000"/>
      <sz val="12"/>
    </font>
    <font>
      <strike val="1"/>
      <color rgb="00999999"/>
    </font>
    <font>
      <b val="1"/>
      <color rgb="00006400"/>
    </font>
    <font>
      <b val="1"/>
    </font>
    <font>
      <i val="1"/>
      <color rgb="00666666"/>
    </font>
    <font>
      <i val="1"/>
      <color rgb="00006400"/>
    </font>
    <font>
      <b val="1"/>
      <color rgb="00FFFFFF"/>
    </font>
    <font>
      <b val="1"/>
      <sz val="14"/>
    </font>
    <font>
      <i val="1"/>
    </font>
    <font>
      <b val="1"/>
      <color rgb="00B8860B"/>
    </font>
    <font>
      <b val="1"/>
      <color rgb="008B0000"/>
    </font>
    <font>
      <i val="1"/>
      <sz val="9"/>
    </font>
    <font>
      <b val="1"/>
      <sz val="12"/>
    </font>
    <font>
      <b val="1"/>
      <color rgb="00808080"/>
    </font>
  </fonts>
  <fills count="30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A6A6A6"/>
        <bgColor rgb="FFA6A6A6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FF6600"/>
        <bgColor rgb="FFFF6600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4DFEC"/>
        <bgColor rgb="FFE4DFEC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4" fontId="0" fillId="6" borderId="0" pivotButton="0" quotePrefix="0" xfId="0"/>
    <xf numFmtId="0" fontId="5" fillId="0" borderId="0" pivotButton="0" quotePrefix="0" xfId="0"/>
    <xf numFmtId="4" fontId="5" fillId="7" borderId="0" pivotButton="0" quotePrefix="0" xfId="0"/>
    <xf numFmtId="0" fontId="4" fillId="9" borderId="0" applyAlignment="1" pivotButton="0" quotePrefix="0" xfId="0">
      <alignment horizontal="center"/>
    </xf>
    <xf numFmtId="4" fontId="0" fillId="0" borderId="0" pivotButton="0" quotePrefix="0" xfId="0"/>
    <xf numFmtId="0" fontId="0" fillId="10" borderId="0" pivotButton="0" quotePrefix="0" xfId="0"/>
    <xf numFmtId="4" fontId="0" fillId="10" borderId="0" pivotButton="0" quotePrefix="0" xfId="0"/>
    <xf numFmtId="0" fontId="6" fillId="0" borderId="0" pivotButton="0" quotePrefix="0" xfId="0"/>
    <xf numFmtId="4" fontId="6" fillId="11" borderId="0" pivotButton="0" quotePrefix="0" xfId="0"/>
    <xf numFmtId="0" fontId="7" fillId="11" borderId="0" pivotButton="0" quotePrefix="0" xfId="0"/>
    <xf numFmtId="4" fontId="6" fillId="13" borderId="0" pivotButton="0" quotePrefix="0" xfId="0"/>
    <xf numFmtId="0" fontId="0" fillId="15" borderId="0" pivotButton="0" quotePrefix="0" xfId="0"/>
    <xf numFmtId="4" fontId="0" fillId="15" borderId="0" pivotButton="0" quotePrefix="0" xfId="0"/>
    <xf numFmtId="0" fontId="8" fillId="10" borderId="0" pivotButton="0" quotePrefix="0" xfId="0"/>
    <xf numFmtId="4" fontId="8" fillId="10" borderId="0" pivotButton="0" quotePrefix="0" xfId="0"/>
    <xf numFmtId="0" fontId="9" fillId="0" borderId="0" pivotButton="0" quotePrefix="0" xfId="0"/>
    <xf numFmtId="4" fontId="9" fillId="10" borderId="0" pivotButton="0" quotePrefix="0" xfId="0"/>
    <xf numFmtId="0" fontId="0" fillId="17" borderId="0" pivotButton="0" quotePrefix="0" xfId="0"/>
    <xf numFmtId="4" fontId="0" fillId="17" borderId="0" pivotButton="0" quotePrefix="0" xfId="0"/>
    <xf numFmtId="4" fontId="3" fillId="2" borderId="0" pivotButton="0" quotePrefix="0" xfId="0"/>
    <xf numFmtId="0" fontId="11" fillId="0" borderId="0" pivotButton="0" quotePrefix="0" xfId="0"/>
    <xf numFmtId="0" fontId="12" fillId="18" borderId="0" pivotButton="0" quotePrefix="0" xfId="0"/>
    <xf numFmtId="0" fontId="12" fillId="2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0" borderId="0" applyAlignment="1" pivotButton="0" quotePrefix="0" xfId="0">
      <alignment wrapText="1"/>
    </xf>
    <xf numFmtId="0" fontId="3" fillId="8" borderId="0" pivotButton="0" quotePrefix="0" xfId="0"/>
    <xf numFmtId="0" fontId="0" fillId="0" borderId="0" pivotButton="0" quotePrefix="0" xfId="0"/>
    <xf numFmtId="0" fontId="3" fillId="4" borderId="0" pivotButton="0" quotePrefix="0" xfId="0"/>
    <xf numFmtId="0" fontId="3" fillId="16" borderId="0" pivotButton="0" quotePrefix="0" xfId="0"/>
    <xf numFmtId="0" fontId="1" fillId="2" borderId="0" applyAlignment="1" pivotButton="0" quotePrefix="0" xfId="0">
      <alignment horizontal="center" vertical="center"/>
    </xf>
    <xf numFmtId="0" fontId="14" fillId="22" borderId="0" applyAlignment="1" pivotButton="0" quotePrefix="0" xfId="0">
      <alignment horizontal="left"/>
    </xf>
    <xf numFmtId="0" fontId="11" fillId="19" borderId="0" applyAlignment="1" pivotButton="0" quotePrefix="0" xfId="0">
      <alignment horizontal="center"/>
    </xf>
    <xf numFmtId="0" fontId="20" fillId="18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14" borderId="0" pivotButton="0" quotePrefix="0" xfId="0"/>
    <xf numFmtId="0" fontId="10" fillId="2" borderId="0" pivotButton="0" quotePrefix="0" xfId="0"/>
    <xf numFmtId="0" fontId="13" fillId="21" borderId="0" applyAlignment="1" pivotButton="0" quotePrefix="0" xfId="0">
      <alignment horizontal="center" vertical="center"/>
    </xf>
    <xf numFmtId="0" fontId="14" fillId="23" borderId="0" applyAlignment="1" pivotButton="0" quotePrefix="0" xfId="0">
      <alignment horizontal="left"/>
    </xf>
    <xf numFmtId="0" fontId="3" fillId="2" borderId="0" pivotButton="0" quotePrefix="0" xfId="0"/>
    <xf numFmtId="0" fontId="3" fillId="12" borderId="0" pivotButton="0" quotePrefix="0" xfId="0"/>
    <xf numFmtId="0" fontId="14" fillId="20" borderId="0" pivotButton="0" quotePrefix="0" xfId="0"/>
    <xf numFmtId="0" fontId="14" fillId="22" borderId="0" pivotButton="0" quotePrefix="0" xfId="0"/>
    <xf numFmtId="0" fontId="0" fillId="24" borderId="0" pivotButton="0" quotePrefix="0" xfId="0"/>
    <xf numFmtId="0" fontId="21" fillId="17" borderId="0" pivotButton="0" quotePrefix="0" xfId="0"/>
    <xf numFmtId="4" fontId="21" fillId="1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29" borderId="0" pivotButton="0" quotePrefix="0" xfId="0"/>
    <xf numFmtId="0" fontId="0" fillId="28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6" fillId="27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0" fillId="28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23" fillId="27" borderId="0" applyAlignment="1" pivotButton="0" quotePrefix="0" xfId="0">
      <alignment horizontal="center"/>
    </xf>
    <xf numFmtId="0" fontId="0" fillId="24" borderId="0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23" fillId="24" borderId="0" pivotButton="0" quotePrefix="0" xfId="0"/>
    <xf numFmtId="0" fontId="23" fillId="25" borderId="0" pivotButton="0" quotePrefix="0" xfId="0"/>
    <xf numFmtId="0" fontId="23" fillId="29" borderId="0" pivotButton="0" quotePrefix="0" xfId="0"/>
    <xf numFmtId="0" fontId="33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60" customWidth="1" style="34" min="1" max="1"/>
    <col width="10" customWidth="1" style="34" min="2" max="2"/>
  </cols>
  <sheetData>
    <row r="1">
      <c r="A1" s="59" t="inlineStr">
        <is>
          <t>OPENDUCK V3 - DELIVERY CHECKLIST</t>
        </is>
      </c>
    </row>
    <row r="2">
      <c r="A2" s="57" t="inlineStr">
        <is>
          <t>Last Updated: 2026-01-14 19:40</t>
        </is>
      </c>
    </row>
    <row r="3"/>
    <row r="4">
      <c r="A4" s="72" t="inlineStr">
        <is>
          <t>STATUS SUMMARY</t>
        </is>
      </c>
    </row>
    <row r="5">
      <c r="A5" t="inlineStr">
        <is>
          <t>RICEVUTO (In Hand):</t>
        </is>
      </c>
      <c r="B5" s="73" t="n">
        <v>35</v>
      </c>
    </row>
    <row r="6">
      <c r="A6" t="inlineStr">
        <is>
          <t>IN ARRIVO (Shipped):</t>
        </is>
      </c>
      <c r="B6" s="74" t="n">
        <v>9</v>
      </c>
    </row>
    <row r="7">
      <c r="A7" t="inlineStr">
        <is>
          <t>DA ORDINARE (To Order):</t>
        </is>
      </c>
      <c r="B7" s="75" t="n">
        <v>6</v>
      </c>
    </row>
    <row r="8">
      <c r="A8" t="inlineStr">
        <is>
          <t>RESO (Returned):</t>
        </is>
      </c>
      <c r="B8" s="62" t="n">
        <v>5</v>
      </c>
    </row>
    <row r="9">
      <c r="A9" t="inlineStr">
        <is>
          <t>RIMOSSO (Removed):</t>
        </is>
      </c>
      <c r="B9" s="62" t="n">
        <v>1</v>
      </c>
    </row>
    <row r="10"/>
    <row r="11">
      <c r="A11" s="53" t="inlineStr">
        <is>
          <t>ITEMS RECEIVED (RICEVUTO)</t>
        </is>
      </c>
    </row>
    <row r="12">
      <c r="A12" t="inlineStr">
        <is>
          <t xml:space="preserve">  - 10 mini Cuscinetti MR63ZZ 3x6x2.5mm</t>
        </is>
      </c>
    </row>
    <row r="13">
      <c r="A13" t="inlineStr">
        <is>
          <t xml:space="preserve">  - 5pcs 2S BMS 20A Battery Protection</t>
        </is>
      </c>
    </row>
    <row r="14">
      <c r="A14" t="inlineStr">
        <is>
          <t xml:space="preserve">  - AGGIUNGI: Alimentatore USB-C 5V 3A (cerca 'Raspber</t>
        </is>
      </c>
    </row>
    <row r="15">
      <c r="A15" t="inlineStr">
        <is>
          <t xml:space="preserve">  - AGGIUNGI: Case alluminio + dissipatore (cerca 'Ras</t>
        </is>
      </c>
    </row>
    <row r="16">
      <c r="A16" t="inlineStr">
        <is>
          <t xml:space="preserve">  - AGGIUNGI: PCA9685 PWM Driver (cerca 'GERUI PCA9685</t>
        </is>
      </c>
    </row>
    <row r="17">
      <c r="A17" t="inlineStr">
        <is>
          <t xml:space="preserve">  - AGGIUNGI: Raspberry Pi 4 Model B 4GB (cerca 'Raspb</t>
        </is>
      </c>
    </row>
    <row r="18">
      <c r="A18" t="inlineStr">
        <is>
          <t xml:space="preserve">  - AZDelivery 5x MG90S Metal Gear Servo</t>
        </is>
      </c>
    </row>
    <row r="19">
      <c r="A19" t="inlineStr">
        <is>
          <t xml:space="preserve">  - AZDelivery MAX98357A I2S Amplifier</t>
        </is>
      </c>
    </row>
    <row r="20">
      <c r="A20" t="inlineStr">
        <is>
          <t xml:space="preserve">  - Aihasd HC-SR04 Ultrasonic (3 pcs)</t>
        </is>
      </c>
    </row>
    <row r="21">
      <c r="A21" t="inlineStr">
        <is>
          <t xml:space="preserve">  - Alimentatore USB-C 5V 3A per Raspberry Pi 4</t>
        </is>
      </c>
    </row>
    <row r="22">
      <c r="A22" t="inlineStr">
        <is>
          <t xml:space="preserve">  - CABLEPELADO Porta batteria 18650 2S 7.4V</t>
        </is>
      </c>
    </row>
    <row r="23">
      <c r="A23" t="inlineStr">
        <is>
          <t xml:space="preserve">  - Case Alluminio + Dissipatore Passivo Raspberry Pi </t>
        </is>
      </c>
    </row>
    <row r="24">
      <c r="A24" t="inlineStr">
        <is>
          <t xml:space="preserve">  - ELEGOO 120pcs Jumper Wire Kit</t>
        </is>
      </c>
    </row>
    <row r="25">
      <c r="A25" t="inlineStr">
        <is>
          <t xml:space="preserve">  - EQM Isopropanolo 99.9% 1L</t>
        </is>
      </c>
    </row>
    <row r="26">
      <c r="A26" t="inlineStr">
        <is>
          <t xml:space="preserve">  - Enerpower 2S Li-ion Charger 7.4V</t>
        </is>
      </c>
    </row>
    <row r="27">
      <c r="A27" t="inlineStr">
        <is>
          <t xml:space="preserve">  - FILAMENTI - JAYO TPU 95A 0.5kg</t>
        </is>
      </c>
    </row>
    <row r="28">
      <c r="A28" t="inlineStr">
        <is>
          <t xml:space="preserve">  - FILAMENTI - Polymaker PLA Pro Bianco 1kg</t>
        </is>
      </c>
    </row>
    <row r="29">
      <c r="A29" t="inlineStr">
        <is>
          <t xml:space="preserve">  - FILAMENTI - Prusament Galaxy PLA 2×1kg</t>
        </is>
      </c>
    </row>
    <row r="30">
      <c r="A30" t="inlineStr">
        <is>
          <t xml:space="preserve">  - FILAMENTI - SUNLU Silk PLA Plus Triplo 1kg</t>
        </is>
      </c>
    </row>
    <row r="31">
      <c r="A31" t="inlineStr">
        <is>
          <t xml:space="preserve">  - FILAMENTI - eSUN PLA+ Bianco 1kg</t>
        </is>
      </c>
    </row>
    <row r="32">
      <c r="A32" t="inlineStr">
        <is>
          <t xml:space="preserve">  - Gruiqrd Filo Silicone 16 gauge 5m</t>
        </is>
      </c>
    </row>
    <row r="33">
      <c r="A33" t="inlineStr">
        <is>
          <t xml:space="preserve">  - HUAZIZ 24 Pezzi Servo Extension</t>
        </is>
      </c>
    </row>
    <row r="34">
      <c r="A34" t="inlineStr">
        <is>
          <t xml:space="preserve">  - Mini Interruttore ON/OFF 5pcs 10A/125V</t>
        </is>
      </c>
    </row>
    <row r="35">
      <c r="A35" t="inlineStr">
        <is>
          <t xml:space="preserve">  - PCA9685 PWM Driver Board 16-Ch I2C (2pcs) - GERUI</t>
        </is>
      </c>
    </row>
    <row r="36">
      <c r="A36" t="inlineStr">
        <is>
          <t xml:space="preserve">  - PCA9685 necessario per controllare 4× MG90S bracci</t>
        </is>
      </c>
    </row>
    <row r="37">
      <c r="A37" t="inlineStr">
        <is>
          <t xml:space="preserve">  - QIDI X-Max 3 Stampante 3D</t>
        </is>
      </c>
    </row>
    <row r="38">
      <c r="A38" t="inlineStr">
        <is>
          <t xml:space="preserve">  - Raspberry Pi 4 Model B 4GB RAM</t>
        </is>
      </c>
    </row>
    <row r="39">
      <c r="A39" t="inlineStr">
        <is>
          <t xml:space="preserve">  - Set Saldatore 60W Temperature Control</t>
        </is>
      </c>
    </row>
    <row r="40">
      <c r="A40" t="inlineStr">
        <is>
          <t xml:space="preserve">  - Taiss Micro Limit Switch 10pcs KW11-3Z-02</t>
        </is>
      </c>
    </row>
    <row r="41">
      <c r="A41" t="inlineStr">
        <is>
          <t xml:space="preserve">  - Viti Cilindriche M2 M3 M4 1080pcs</t>
        </is>
      </c>
    </row>
    <row r="42">
      <c r="A42" t="inlineStr">
        <is>
          <t xml:space="preserve">  - YINETTECH 4 Pezzi 25T Servo Horn</t>
        </is>
      </c>
    </row>
    <row r="43">
      <c r="A43" t="inlineStr">
        <is>
          <t xml:space="preserve">  - YIXISI 5 Paia XT30 Connectors</t>
        </is>
      </c>
    </row>
    <row r="44">
      <c r="A44" t="inlineStr">
        <is>
          <t xml:space="preserve">  - YUVKIN 5 Pezzi Nastro Kapton</t>
        </is>
      </c>
    </row>
    <row r="45">
      <c r="A45" t="inlineStr">
        <is>
          <t xml:space="preserve">  - Yiqigou 2pcs XT30 Extension Cable</t>
        </is>
      </c>
    </row>
    <row r="46">
      <c r="A46" t="inlineStr">
        <is>
          <t xml:space="preserve">  - ZHITING UBEC 5V 3A Step-Down</t>
        </is>
      </c>
    </row>
    <row r="47"/>
    <row r="48">
      <c r="A48" s="63" t="inlineStr">
        <is>
          <t>ITEMS IN TRANSIT (IN ARRIVO)</t>
        </is>
      </c>
    </row>
    <row r="49">
      <c r="A49" t="inlineStr">
        <is>
          <t xml:space="preserve">  - AYWHP INMP441 I2S Microphone (6 pcs)</t>
        </is>
      </c>
    </row>
    <row r="50">
      <c r="A50" t="inlineStr">
        <is>
          <t xml:space="preserve">  - Adafruit BNO085 9-DOF IMU</t>
        </is>
      </c>
    </row>
    <row r="51">
      <c r="A51" t="inlineStr">
        <is>
          <t xml:space="preserve">  - ETOPARS 3mm Guaina Cavi Intrecciata 10m</t>
        </is>
      </c>
    </row>
    <row r="52">
      <c r="A52" t="inlineStr">
        <is>
          <t xml:space="preserve">  - FILO STAGNO 60/40 100gr 0.8mm</t>
        </is>
      </c>
    </row>
    <row r="53">
      <c r="A53" t="inlineStr">
        <is>
          <t xml:space="preserve">  - Flux Pen 951 10ml No-Clean</t>
        </is>
      </c>
    </row>
    <row r="54">
      <c r="A54" t="inlineStr">
        <is>
          <t xml:space="preserve">  - Paradisetronic Speaker 2W 8Ω 40mm</t>
        </is>
      </c>
    </row>
    <row r="55">
      <c r="A55" t="inlineStr">
        <is>
          <t xml:space="preserve">  - SanDisk Ultra 32GB microSD Class 10</t>
        </is>
      </c>
    </row>
    <row r="56">
      <c r="A56" t="inlineStr">
        <is>
          <t xml:space="preserve">  - TXS0108E Level Shifter (10 pcs)</t>
        </is>
      </c>
    </row>
    <row r="57">
      <c r="A57" t="inlineStr">
        <is>
          <t xml:space="preserve">  - ruthex M3 Heat Set Inserts 100pcs</t>
        </is>
      </c>
    </row>
    <row r="58"/>
    <row r="59">
      <c r="A59" s="64" t="inlineStr">
        <is>
          <t>ITEMS TO ORDER (DA ORDINARE)</t>
        </is>
      </c>
    </row>
    <row r="60">
      <c r="A60" t="inlineStr">
        <is>
          <t xml:space="preserve">  - 16× Feetech STS3215 Servo 7.4V 19kg·cm</t>
        </is>
      </c>
    </row>
    <row r="61">
      <c r="A61" t="inlineStr">
        <is>
          <t xml:space="preserve">  - 2× Molicel INR18650-P30B 3000mAh</t>
        </is>
      </c>
    </row>
    <row r="62">
      <c r="A62" t="inlineStr">
        <is>
          <t xml:space="preserve">  - Acrylic Dome Lenses 25mm (2pcs)</t>
        </is>
      </c>
    </row>
    <row r="63">
      <c r="A63" t="inlineStr">
        <is>
          <t xml:space="preserve">  - Email quotazione a info@eckstein-shop.de</t>
        </is>
      </c>
    </row>
    <row r="64">
      <c r="A64" t="inlineStr">
        <is>
          <t xml:space="preserve">  - FE-URT-1 USB-UART Servo Controller</t>
        </is>
      </c>
    </row>
    <row r="65">
      <c r="A65" t="inlineStr">
        <is>
          <t xml:space="preserve">  - Raspberry Pi AI Camera IMX500 12MP</t>
        </is>
      </c>
    </row>
    <row r="66"/>
    <row r="67">
      <c r="A67" s="76" t="inlineStr">
        <is>
          <t>RETURNED (RESO)</t>
        </is>
      </c>
    </row>
    <row r="68">
      <c r="A68" t="inlineStr">
        <is>
          <t xml:space="preserve">  - AZDelivery Pi Zero Camera Cable 15cm</t>
        </is>
      </c>
    </row>
    <row r="69">
      <c r="A69" t="inlineStr">
        <is>
          <t xml:space="preserve">  - Amazon PowerFast Micro USB 1.5m</t>
        </is>
      </c>
    </row>
    <row r="70">
      <c r="A70" t="inlineStr">
        <is>
          <t xml:space="preserve">  - Pi Zero 2W CPU carico 47-83% (single core), potenz</t>
        </is>
      </c>
    </row>
    <row r="71">
      <c r="A71" t="inlineStr">
        <is>
          <t xml:space="preserve">  - Raspberry Pi Zero 2W 512MB RAM</t>
        </is>
      </c>
    </row>
    <row r="72"/>
    <row r="73">
      <c r="A73" s="76" t="inlineStr">
        <is>
          <t>REMOVED (RIMOSSO)</t>
        </is>
      </c>
    </row>
    <row r="74">
      <c r="A74" t="inlineStr">
        <is>
          <t xml:space="preserve">  - 2DOF Aluminum Robot Gripper Kit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tabSelected="1" topLeftCell="A34" workbookViewId="0">
      <selection activeCell="B142" sqref="B142"/>
    </sheetView>
  </sheetViews>
  <sheetFormatPr baseColWidth="8" defaultRowHeight="14.25"/>
  <cols>
    <col width="8" customWidth="1" style="34" min="1" max="1"/>
    <col width="50" customWidth="1" style="34" min="2" max="2"/>
    <col width="12" customWidth="1" style="34" min="3" max="3"/>
    <col width="20" customWidth="1" style="34" min="4" max="4"/>
    <col width="15" customWidth="1" style="34" min="5" max="5"/>
    <col width="60" customWidth="1" style="34" min="6" max="6"/>
    <col width="15" customWidth="1" style="34" min="7" max="7"/>
    <col width="25" customWidth="1" style="34" min="8" max="8"/>
  </cols>
  <sheetData>
    <row r="1" ht="35" customHeight="1" s="34">
      <c r="A1" s="37" t="inlineStr">
        <is>
          <t>OPENDUCK MINI V3 ENHANCED - MASTER PROCUREMENT TRACKER</t>
        </is>
      </c>
    </row>
    <row r="2" ht="20" customHeight="1" s="34">
      <c r="A2" s="41" t="inlineStr">
        <is>
          <t>Last Update: 12 January 2026, 18:53 | Budget Totale: ~€1,718</t>
        </is>
      </c>
    </row>
    <row r="4" ht="25.05" customHeight="1" s="34">
      <c r="A4" s="35" t="inlineStr">
        <is>
          <t>✅ FASE 1 - GIA ACQUISTATO</t>
        </is>
      </c>
    </row>
    <row r="5">
      <c r="A5" s="1" t="inlineStr">
        <is>
          <t>✓</t>
        </is>
      </c>
      <c r="B5" s="1" t="inlineStr">
        <is>
          <t>Componente</t>
        </is>
      </c>
      <c r="C5" s="1" t="inlineStr">
        <is>
          <t>Prezzo €</t>
        </is>
      </c>
      <c r="D5" s="1" t="inlineStr">
        <is>
          <t>Fornitore</t>
        </is>
      </c>
      <c r="E5" s="1" t="inlineStr">
        <is>
          <t>Data Ordine</t>
        </is>
      </c>
      <c r="F5" s="1" t="inlineStr">
        <is>
          <t>Note</t>
        </is>
      </c>
      <c r="G5" s="1" t="inlineStr">
        <is>
          <t>Status</t>
        </is>
      </c>
      <c r="H5" s="1" t="inlineStr">
        <is>
          <t>Tracking</t>
        </is>
      </c>
      <c r="I5" s="69" t="inlineStr">
        <is>
          <t>Consegna</t>
        </is>
      </c>
      <c r="J5" s="54" t="inlineStr">
        <is>
          <t>Data</t>
        </is>
      </c>
    </row>
    <row r="6">
      <c r="A6" s="2" t="inlineStr">
        <is>
          <t>✅</t>
        </is>
      </c>
      <c r="B6" s="2" t="inlineStr">
        <is>
          <t>QIDI X-Max 3 Stampante 3D</t>
        </is>
      </c>
      <c r="C6" s="3" t="n">
        <v>599</v>
      </c>
      <c r="D6" s="2" t="inlineStr">
        <is>
          <t>Amazon.it</t>
        </is>
      </c>
      <c r="E6" s="2" t="inlineStr">
        <is>
          <t>Dic 2025</t>
        </is>
      </c>
      <c r="F6" s="2" t="inlineStr">
        <is>
          <t>Core System - 300x300x300mm build</t>
        </is>
      </c>
      <c r="G6" s="2" t="inlineStr">
        <is>
          <t>RICEVUTO</t>
        </is>
      </c>
      <c r="H6" s="2" t="inlineStr">
        <is>
          <t>Consegnato</t>
        </is>
      </c>
      <c r="I6" s="70" t="inlineStr">
        <is>
          <t>RICEVUTO</t>
        </is>
      </c>
      <c r="J6" s="71" t="inlineStr">
        <is>
          <t>Dic 2025</t>
        </is>
      </c>
    </row>
    <row r="7">
      <c r="C7" s="4" t="inlineStr">
        <is>
          <t>TOTALE GIA SPESO:</t>
        </is>
      </c>
      <c r="D7" s="5" t="n">
        <v>599</v>
      </c>
    </row>
    <row r="9" ht="25.05" customHeight="1" s="34">
      <c r="A9" s="33" t="inlineStr">
        <is>
          <t>🛒 FASE 2 - ORDINE AMAZON.IT (PROCEDI CHECKOUT)</t>
        </is>
      </c>
    </row>
    <row r="10">
      <c r="A10" s="6" t="inlineStr">
        <is>
          <t>✓</t>
        </is>
      </c>
      <c r="B10" s="6" t="inlineStr">
        <is>
          <t>Componente</t>
        </is>
      </c>
      <c r="C10" s="6" t="inlineStr">
        <is>
          <t>Prezzo €</t>
        </is>
      </c>
      <c r="D10" s="6" t="inlineStr">
        <is>
          <t>Fornitore</t>
        </is>
      </c>
      <c r="E10" s="6" t="inlineStr">
        <is>
          <t>Data Ordine</t>
        </is>
      </c>
      <c r="F10" s="6" t="inlineStr">
        <is>
          <t>Note</t>
        </is>
      </c>
      <c r="G10" s="6" t="inlineStr">
        <is>
          <t>Status</t>
        </is>
      </c>
      <c r="H10" s="6" t="inlineStr">
        <is>
          <t>Tracking</t>
        </is>
      </c>
    </row>
    <row r="11">
      <c r="A11" s="2" t="inlineStr">
        <is>
          <t>✅</t>
        </is>
      </c>
      <c r="B11" t="inlineStr">
        <is>
          <t>FILAMENTI - Prusament Galaxy PLA 2×1kg</t>
        </is>
      </c>
      <c r="C11" s="7" t="n">
        <v>75.98</v>
      </c>
      <c r="D11" t="inlineStr">
        <is>
          <t>Amazon.it</t>
        </is>
      </c>
      <c r="E11" t="inlineStr">
        <is>
          <t>DA ORDINARE</t>
        </is>
      </c>
      <c r="F11" t="inlineStr">
        <is>
          <t>Premium structural filament</t>
        </is>
      </c>
      <c r="G11" t="inlineStr">
        <is>
          <t>CARRELLO</t>
        </is>
      </c>
      <c r="H11" t="inlineStr">
        <is>
          <t>13-16 gen</t>
        </is>
      </c>
      <c r="I11" s="70" t="inlineStr">
        <is>
          <t>RICEVUTO</t>
        </is>
      </c>
      <c r="J11" s="71" t="inlineStr">
        <is>
          <t>14/01</t>
        </is>
      </c>
    </row>
    <row r="12">
      <c r="A12" s="2" t="inlineStr">
        <is>
          <t>✅</t>
        </is>
      </c>
      <c r="B12" t="inlineStr">
        <is>
          <t>FILAMENTI - Polymaker PLA Pro Bianco 1kg</t>
        </is>
      </c>
      <c r="C12" s="7" t="n">
        <v>37.99</v>
      </c>
      <c r="D12" t="inlineStr">
        <is>
          <t>Amazon.it</t>
        </is>
      </c>
      <c r="E12" t="inlineStr">
        <is>
          <t>DA ORDINARE</t>
        </is>
      </c>
      <c r="F12" t="inlineStr">
        <is>
          <t>Engineering-grade PLA</t>
        </is>
      </c>
      <c r="G12" t="inlineStr">
        <is>
          <t>CARRELLO</t>
        </is>
      </c>
      <c r="H12" t="inlineStr">
        <is>
          <t>13-16 gen</t>
        </is>
      </c>
      <c r="I12" s="70" t="inlineStr">
        <is>
          <t>RICEVUTO</t>
        </is>
      </c>
      <c r="J12" s="71" t="inlineStr">
        <is>
          <t>14/01</t>
        </is>
      </c>
    </row>
    <row r="13">
      <c r="A13" s="2" t="inlineStr">
        <is>
          <t>✅</t>
        </is>
      </c>
      <c r="B13" t="inlineStr">
        <is>
          <t>FILAMENTI - eSUN PLA+ Bianco 1kg</t>
        </is>
      </c>
      <c r="C13" s="7" t="n">
        <v>20.52</v>
      </c>
      <c r="D13" t="inlineStr">
        <is>
          <t>Amazon.it</t>
        </is>
      </c>
      <c r="E13" t="inlineStr">
        <is>
          <t>DA ORDINARE</t>
        </is>
      </c>
      <c r="F13" t="inlineStr">
        <is>
          <t>Reliable standard PLA</t>
        </is>
      </c>
      <c r="G13" t="inlineStr">
        <is>
          <t>CARRELLO</t>
        </is>
      </c>
      <c r="H13" t="inlineStr">
        <is>
          <t>14 gen</t>
        </is>
      </c>
      <c r="I13" s="70" t="inlineStr">
        <is>
          <t>RICEVUTO</t>
        </is>
      </c>
      <c r="J13" s="71" t="inlineStr">
        <is>
          <t>13/01</t>
        </is>
      </c>
    </row>
    <row r="14">
      <c r="A14" s="2" t="inlineStr">
        <is>
          <t>✅</t>
        </is>
      </c>
      <c r="B14" t="inlineStr">
        <is>
          <t>FILAMENTI - SUNLU Silk PLA Plus Triplo 1kg</t>
        </is>
      </c>
      <c r="C14" s="7" t="n">
        <v>18.99</v>
      </c>
      <c r="D14" t="inlineStr">
        <is>
          <t>Amazon.it</t>
        </is>
      </c>
      <c r="E14" t="inlineStr">
        <is>
          <t>DA ORDINARE</t>
        </is>
      </c>
      <c r="F14" t="inlineStr">
        <is>
          <t>Creative Nero-Oro-Viola</t>
        </is>
      </c>
      <c r="G14" t="inlineStr">
        <is>
          <t>CARRELLO</t>
        </is>
      </c>
      <c r="H14" t="inlineStr">
        <is>
          <t>13-16 gen</t>
        </is>
      </c>
      <c r="I14" s="70" t="inlineStr">
        <is>
          <t>RICEVUTO</t>
        </is>
      </c>
      <c r="J14" s="71" t="inlineStr">
        <is>
          <t>14/01</t>
        </is>
      </c>
    </row>
    <row r="15">
      <c r="A15" s="2" t="inlineStr">
        <is>
          <t>✅</t>
        </is>
      </c>
      <c r="B15" t="inlineStr">
        <is>
          <t>FILAMENTI - JAYO TPU 95A 0.5kg</t>
        </is>
      </c>
      <c r="C15" s="7" t="n">
        <v>15.99</v>
      </c>
      <c r="D15" t="inlineStr">
        <is>
          <t>Amazon.it</t>
        </is>
      </c>
      <c r="E15" t="inlineStr">
        <is>
          <t>DA ORDINARE</t>
        </is>
      </c>
      <c r="F15" t="inlineStr">
        <is>
          <t>Flexible feet pads</t>
        </is>
      </c>
      <c r="G15" t="inlineStr">
        <is>
          <t>CARRELLO</t>
        </is>
      </c>
      <c r="H15" t="inlineStr">
        <is>
          <t>13 gen</t>
        </is>
      </c>
      <c r="I15" s="70" t="inlineStr">
        <is>
          <t>RICEVUTO</t>
        </is>
      </c>
      <c r="J15" s="71" t="inlineStr">
        <is>
          <t>13/01</t>
        </is>
      </c>
    </row>
    <row r="16">
      <c r="A16" s="2" t="inlineStr">
        <is>
          <t>✅</t>
        </is>
      </c>
      <c r="B16" t="inlineStr">
        <is>
          <t>Raspberry Pi Zero 2W 512MB RAM</t>
        </is>
      </c>
      <c r="C16" s="7" t="n">
        <v>23.8</v>
      </c>
      <c r="D16" t="inlineStr">
        <is>
          <t>Amazon.it</t>
        </is>
      </c>
      <c r="E16" t="inlineStr">
        <is>
          <t>DA ORDINARE</t>
        </is>
      </c>
      <c r="F16" t="inlineStr">
        <is>
          <t>UPGRADE: CPU insufficiente (47-83% carico). Sostituire con Pi 4 4GB</t>
        </is>
      </c>
      <c r="G16" s="24" t="inlineStr">
        <is>
          <t>⚠️ DA RIMUOVERE</t>
        </is>
      </c>
      <c r="H16" t="inlineStr">
        <is>
          <t>13-16 gen</t>
        </is>
      </c>
      <c r="I16" s="67" t="inlineStr">
        <is>
          <t>RESO</t>
        </is>
      </c>
      <c r="J16" s="71" t="inlineStr">
        <is>
          <t>Reso</t>
        </is>
      </c>
    </row>
    <row r="17">
      <c r="A17" s="2" t="inlineStr">
        <is>
          <t>✅</t>
        </is>
      </c>
      <c r="B17" t="inlineStr">
        <is>
          <t>SanDisk Ultra 32GB microSD Class 10</t>
        </is>
      </c>
      <c r="C17" s="7" t="n">
        <v>11.99</v>
      </c>
      <c r="D17" t="inlineStr">
        <is>
          <t>Amazon.it</t>
        </is>
      </c>
      <c r="E17" t="inlineStr">
        <is>
          <t>DA ORDINARE</t>
        </is>
      </c>
      <c r="F17" t="inlineStr">
        <is>
          <t>OS storage A1 rated</t>
        </is>
      </c>
      <c r="G17" t="inlineStr">
        <is>
          <t>CARRELLO</t>
        </is>
      </c>
      <c r="H17" t="inlineStr">
        <is>
          <t>13-16 gen</t>
        </is>
      </c>
      <c r="I17" s="66" t="inlineStr">
        <is>
          <t>IN ARRIVO</t>
        </is>
      </c>
      <c r="J17" s="71" t="inlineStr">
        <is>
          <t>20/01</t>
        </is>
      </c>
    </row>
    <row r="18">
      <c r="A18" s="2" t="inlineStr">
        <is>
          <t>✅</t>
        </is>
      </c>
      <c r="B18" t="inlineStr">
        <is>
          <t>Adafruit BNO085 9-DOF IMU</t>
        </is>
      </c>
      <c r="C18" s="7" t="n">
        <v>42.59</v>
      </c>
      <c r="D18" t="inlineStr">
        <is>
          <t>Amazon.it</t>
        </is>
      </c>
      <c r="E18" t="inlineStr">
        <is>
          <t>DA ORDINARE</t>
        </is>
      </c>
      <c r="F18" t="inlineStr">
        <is>
          <t>Motion tracking sensor</t>
        </is>
      </c>
      <c r="G18" t="inlineStr">
        <is>
          <t>CARRELLO</t>
        </is>
      </c>
      <c r="H18" t="inlineStr">
        <is>
          <t>13-22 gen</t>
        </is>
      </c>
      <c r="I18" s="66" t="inlineStr">
        <is>
          <t>IN ARRIVO</t>
        </is>
      </c>
      <c r="J18" s="71" t="inlineStr">
        <is>
          <t>19-22/01</t>
        </is>
      </c>
    </row>
    <row r="19">
      <c r="A19" s="2" t="inlineStr">
        <is>
          <t>✅</t>
        </is>
      </c>
      <c r="B19" t="inlineStr">
        <is>
          <t>AYWHP INMP441 I2S Microphone (6 pcs)</t>
        </is>
      </c>
      <c r="C19" s="7" t="n">
        <v>15.99</v>
      </c>
      <c r="D19" t="inlineStr">
        <is>
          <t>Amazon.it</t>
        </is>
      </c>
      <c r="E19" t="inlineStr">
        <is>
          <t>DA ORDINARE</t>
        </is>
      </c>
      <c r="F19" t="inlineStr">
        <is>
          <t>Audio input system</t>
        </is>
      </c>
      <c r="G19" t="inlineStr">
        <is>
          <t>CARRELLO</t>
        </is>
      </c>
      <c r="H19" t="inlineStr">
        <is>
          <t>13-16 gen</t>
        </is>
      </c>
      <c r="I19" s="66" t="inlineStr">
        <is>
          <t>IN ARRIVO</t>
        </is>
      </c>
      <c r="J19" s="71" t="inlineStr">
        <is>
          <t>15/01</t>
        </is>
      </c>
    </row>
    <row r="20">
      <c r="A20" s="2" t="inlineStr">
        <is>
          <t>✅</t>
        </is>
      </c>
      <c r="B20" t="inlineStr">
        <is>
          <t>AZDelivery MAX98357A I2S Amplifier</t>
        </is>
      </c>
      <c r="C20" s="7" t="n">
        <v>10.99</v>
      </c>
      <c r="D20" t="inlineStr">
        <is>
          <t>Amazon.it</t>
        </is>
      </c>
      <c r="E20" t="inlineStr">
        <is>
          <t>DA ORDINARE</t>
        </is>
      </c>
      <c r="F20" t="inlineStr">
        <is>
          <t>Audio output amplifier</t>
        </is>
      </c>
      <c r="G20" t="inlineStr">
        <is>
          <t>CARRELLO</t>
        </is>
      </c>
      <c r="H20" t="inlineStr">
        <is>
          <t>13-16 gen</t>
        </is>
      </c>
      <c r="I20" s="70" t="inlineStr">
        <is>
          <t>RICEVUTO</t>
        </is>
      </c>
      <c r="J20" s="71" t="inlineStr">
        <is>
          <t>13/01</t>
        </is>
      </c>
    </row>
    <row r="21">
      <c r="A21" s="2" t="inlineStr">
        <is>
          <t>✅</t>
        </is>
      </c>
      <c r="B21" t="inlineStr">
        <is>
          <t>Paradisetronic Speaker 2W 8Ω 40mm</t>
        </is>
      </c>
      <c r="C21" s="7" t="n">
        <v>10.05</v>
      </c>
      <c r="D21" t="inlineStr">
        <is>
          <t>Amazon.it</t>
        </is>
      </c>
      <c r="E21" t="inlineStr">
        <is>
          <t>DA ORDINARE</t>
        </is>
      </c>
      <c r="F21" t="inlineStr">
        <is>
          <t>Mini speaker for voice</t>
        </is>
      </c>
      <c r="G21" t="inlineStr">
        <is>
          <t>CARRELLO</t>
        </is>
      </c>
      <c r="H21" t="inlineStr">
        <is>
          <t>16 gen</t>
        </is>
      </c>
      <c r="I21" s="66" t="inlineStr">
        <is>
          <t>IN ARRIVO</t>
        </is>
      </c>
      <c r="J21" s="71" t="inlineStr">
        <is>
          <t>20/01</t>
        </is>
      </c>
    </row>
    <row r="22">
      <c r="A22" s="2" t="inlineStr">
        <is>
          <t>✅</t>
        </is>
      </c>
      <c r="B22" t="inlineStr">
        <is>
          <t>Aihasd HC-SR04 Ultrasonic (3 pcs)</t>
        </is>
      </c>
      <c r="C22" s="7" t="n">
        <v>7.59</v>
      </c>
      <c r="D22" t="inlineStr">
        <is>
          <t>Amazon.it</t>
        </is>
      </c>
      <c r="E22" t="inlineStr">
        <is>
          <t>DA ORDINARE</t>
        </is>
      </c>
      <c r="F22" t="inlineStr">
        <is>
          <t>Obstacle detection</t>
        </is>
      </c>
      <c r="G22" t="inlineStr">
        <is>
          <t>CARRELLO</t>
        </is>
      </c>
      <c r="H22" t="inlineStr">
        <is>
          <t>13-16 gen</t>
        </is>
      </c>
      <c r="I22" s="70" t="inlineStr">
        <is>
          <t>RICEVUTO</t>
        </is>
      </c>
      <c r="J22" s="71" t="inlineStr">
        <is>
          <t>13/01</t>
        </is>
      </c>
    </row>
    <row r="23">
      <c r="A23" s="2" t="inlineStr">
        <is>
          <t>✅</t>
        </is>
      </c>
      <c r="B23" t="inlineStr">
        <is>
          <t>TXS0108E Level Shifter (10 pcs)</t>
        </is>
      </c>
      <c r="C23" s="7" t="n">
        <v>9.99</v>
      </c>
      <c r="D23" t="inlineStr">
        <is>
          <t>Amazon.it</t>
        </is>
      </c>
      <c r="E23" t="inlineStr">
        <is>
          <t>DA ORDINARE</t>
        </is>
      </c>
      <c r="F23" t="inlineStr">
        <is>
          <t>3.3V ↔ 5V bidirectional</t>
        </is>
      </c>
      <c r="G23" t="inlineStr">
        <is>
          <t>CARRELLO</t>
        </is>
      </c>
      <c r="H23" t="inlineStr">
        <is>
          <t>22 gen</t>
        </is>
      </c>
      <c r="I23" s="66" t="inlineStr">
        <is>
          <t>IN ARRIVO</t>
        </is>
      </c>
      <c r="J23" s="71" t="inlineStr">
        <is>
          <t>22/01</t>
        </is>
      </c>
    </row>
    <row r="24">
      <c r="A24" s="2" t="inlineStr">
        <is>
          <t>✅</t>
        </is>
      </c>
      <c r="B24" t="inlineStr">
        <is>
          <t>5pcs 2S BMS 20A Battery Protection</t>
        </is>
      </c>
      <c r="C24" s="7" t="n">
        <v>17.18</v>
      </c>
      <c r="D24" t="inlineStr">
        <is>
          <t>Amazon.it</t>
        </is>
      </c>
      <c r="E24" t="inlineStr">
        <is>
          <t>DA ORDINARE</t>
        </is>
      </c>
      <c r="F24" t="inlineStr">
        <is>
          <t>Li-ion battery safety</t>
        </is>
      </c>
      <c r="G24" t="inlineStr">
        <is>
          <t>CARRELLO</t>
        </is>
      </c>
      <c r="H24" t="inlineStr">
        <is>
          <t>13-16 gen</t>
        </is>
      </c>
      <c r="I24" s="70" t="inlineStr">
        <is>
          <t>RICEVUTO</t>
        </is>
      </c>
      <c r="J24" s="71" t="inlineStr">
        <is>
          <t>13/01</t>
        </is>
      </c>
    </row>
    <row r="25">
      <c r="A25" s="2" t="inlineStr">
        <is>
          <t>✅</t>
        </is>
      </c>
      <c r="B25" t="inlineStr">
        <is>
          <t>ZHITING UBEC 5V 3A Step-Down</t>
        </is>
      </c>
      <c r="C25" s="7" t="n">
        <v>6.99</v>
      </c>
      <c r="D25" t="inlineStr">
        <is>
          <t>Amazon.it</t>
        </is>
      </c>
      <c r="E25" t="inlineStr">
        <is>
          <t>DA ORDINARE</t>
        </is>
      </c>
      <c r="F25" t="inlineStr">
        <is>
          <t>Electronics power rail</t>
        </is>
      </c>
      <c r="G25" t="inlineStr">
        <is>
          <t>CARRELLO</t>
        </is>
      </c>
      <c r="H25" t="inlineStr">
        <is>
          <t>13-16 gen</t>
        </is>
      </c>
      <c r="I25" s="70" t="inlineStr">
        <is>
          <t>RICEVUTO</t>
        </is>
      </c>
      <c r="J25" s="71" t="inlineStr">
        <is>
          <t>13/01</t>
        </is>
      </c>
    </row>
    <row r="26">
      <c r="A26" s="2" t="inlineStr">
        <is>
          <t>✅</t>
        </is>
      </c>
      <c r="B26" t="inlineStr">
        <is>
          <t>YIXISI 5 Paia XT30 Connectors</t>
        </is>
      </c>
      <c r="C26" s="7" t="n">
        <v>9.59</v>
      </c>
      <c r="D26" t="inlineStr">
        <is>
          <t>Amazon.it</t>
        </is>
      </c>
      <c r="E26" t="inlineStr">
        <is>
          <t>DA ORDINARE</t>
        </is>
      </c>
      <c r="F26" t="inlineStr">
        <is>
          <t>Power distribution 30A</t>
        </is>
      </c>
      <c r="G26" t="inlineStr">
        <is>
          <t>CARRELLO</t>
        </is>
      </c>
      <c r="H26" t="inlineStr">
        <is>
          <t>13 gen</t>
        </is>
      </c>
      <c r="I26" s="70" t="inlineStr">
        <is>
          <t>RICEVUTO</t>
        </is>
      </c>
      <c r="J26" s="71" t="inlineStr">
        <is>
          <t>13-14/01</t>
        </is>
      </c>
    </row>
    <row r="27">
      <c r="A27" s="2" t="inlineStr">
        <is>
          <t>✅</t>
        </is>
      </c>
      <c r="B27" t="inlineStr">
        <is>
          <t>Yiqigou 2pcs XT30 Extension Cable</t>
        </is>
      </c>
      <c r="C27" s="7" t="n">
        <v>8.789999999999999</v>
      </c>
      <c r="D27" t="inlineStr">
        <is>
          <t>Amazon.it</t>
        </is>
      </c>
      <c r="E27" t="inlineStr">
        <is>
          <t>DA ORDINARE</t>
        </is>
      </c>
      <c r="F27" t="inlineStr">
        <is>
          <t>Power cable extensions</t>
        </is>
      </c>
      <c r="G27" t="inlineStr">
        <is>
          <t>CARRELLO</t>
        </is>
      </c>
      <c r="H27" t="inlineStr">
        <is>
          <t>13-16 gen</t>
        </is>
      </c>
      <c r="I27" s="70" t="inlineStr">
        <is>
          <t>RICEVUTO</t>
        </is>
      </c>
      <c r="J27" s="71" t="inlineStr">
        <is>
          <t>13-14/01</t>
        </is>
      </c>
    </row>
    <row r="28">
      <c r="A28" s="2" t="inlineStr">
        <is>
          <t>✅</t>
        </is>
      </c>
      <c r="B28" t="inlineStr">
        <is>
          <t>Enerpower 2S Li-ion Charger 7.4V</t>
        </is>
      </c>
      <c r="C28" s="7" t="n">
        <v>19.44</v>
      </c>
      <c r="D28" t="inlineStr">
        <is>
          <t>Amazon.it</t>
        </is>
      </c>
      <c r="E28" t="inlineStr">
        <is>
          <t>DA ORDINARE</t>
        </is>
      </c>
      <c r="F28" t="inlineStr">
        <is>
          <t>Battery charging system</t>
        </is>
      </c>
      <c r="G28" t="inlineStr">
        <is>
          <t>CARRELLO</t>
        </is>
      </c>
      <c r="H28" t="inlineStr">
        <is>
          <t>13 gen</t>
        </is>
      </c>
      <c r="I28" s="70" t="inlineStr">
        <is>
          <t>RICEVUTO</t>
        </is>
      </c>
      <c r="J28" s="71" t="inlineStr">
        <is>
          <t>14/01</t>
        </is>
      </c>
    </row>
    <row r="29">
      <c r="A29" s="2" t="inlineStr">
        <is>
          <t>✅</t>
        </is>
      </c>
      <c r="B29" t="inlineStr">
        <is>
          <t>ruthex M3 Heat Set Inserts 100pcs</t>
        </is>
      </c>
      <c r="C29" s="7" t="n">
        <v>10.99</v>
      </c>
      <c r="D29" t="inlineStr">
        <is>
          <t>Amazon.it</t>
        </is>
      </c>
      <c r="E29" t="inlineStr">
        <is>
          <t>DA ORDINARE</t>
        </is>
      </c>
      <c r="F29" t="inlineStr">
        <is>
          <t>M3x5x4mm brass inserts</t>
        </is>
      </c>
      <c r="G29" t="inlineStr">
        <is>
          <t>CARRELLO</t>
        </is>
      </c>
      <c r="H29" t="inlineStr">
        <is>
          <t>17 gen</t>
        </is>
      </c>
      <c r="I29" s="66" t="inlineStr">
        <is>
          <t>IN ARRIVO</t>
        </is>
      </c>
      <c r="J29" s="71" t="inlineStr">
        <is>
          <t>23/01</t>
        </is>
      </c>
    </row>
    <row r="30">
      <c r="A30" s="2" t="inlineStr">
        <is>
          <t>✅</t>
        </is>
      </c>
      <c r="B30" t="inlineStr">
        <is>
          <t>Viti Cilindriche M2 M3 M4 1080pcs</t>
        </is>
      </c>
      <c r="C30" s="7" t="n">
        <v>10.79</v>
      </c>
      <c r="D30" t="inlineStr">
        <is>
          <t>Amazon.it</t>
        </is>
      </c>
      <c r="E30" t="inlineStr">
        <is>
          <t>DA ORDINARE</t>
        </is>
      </c>
      <c r="F30" t="inlineStr">
        <is>
          <t>Socket head cap screws</t>
        </is>
      </c>
      <c r="G30" t="inlineStr">
        <is>
          <t>CARRELLO</t>
        </is>
      </c>
      <c r="H30" t="inlineStr">
        <is>
          <t>13-16 gen</t>
        </is>
      </c>
      <c r="I30" s="70" t="inlineStr">
        <is>
          <t>RICEVUTO</t>
        </is>
      </c>
      <c r="J30" s="71" t="inlineStr">
        <is>
          <t>14/01</t>
        </is>
      </c>
    </row>
    <row r="31">
      <c r="A31" s="2" t="inlineStr">
        <is>
          <t>✅</t>
        </is>
      </c>
      <c r="B31" t="inlineStr">
        <is>
          <t>10 mini Cuscinetti MR63ZZ 3x6x2.5mm</t>
        </is>
      </c>
      <c r="C31" s="7" t="n">
        <v>8.35</v>
      </c>
      <c r="D31" t="inlineStr">
        <is>
          <t>Amazon.it</t>
        </is>
      </c>
      <c r="E31" t="inlineStr">
        <is>
          <t>DA ORDINARE</t>
        </is>
      </c>
      <c r="F31" t="inlineStr">
        <is>
          <t>Ball bearings for joints</t>
        </is>
      </c>
      <c r="G31" t="inlineStr">
        <is>
          <t>CARRELLO</t>
        </is>
      </c>
      <c r="H31" t="inlineStr">
        <is>
          <t>16 gen</t>
        </is>
      </c>
      <c r="I31" s="70" t="inlineStr">
        <is>
          <t>RICEVUTO</t>
        </is>
      </c>
      <c r="J31" s="71" t="inlineStr">
        <is>
          <t>14/01</t>
        </is>
      </c>
    </row>
    <row r="32">
      <c r="A32" s="2" t="inlineStr">
        <is>
          <t>✅</t>
        </is>
      </c>
      <c r="B32" t="inlineStr">
        <is>
          <t>ELEGOO 120pcs Jumper Wire Kit</t>
        </is>
      </c>
      <c r="C32" s="7" t="n">
        <v>9.49</v>
      </c>
      <c r="D32" t="inlineStr">
        <is>
          <t>Amazon.it</t>
        </is>
      </c>
      <c r="E32" t="inlineStr">
        <is>
          <t>DA ORDINARE</t>
        </is>
      </c>
      <c r="F32" t="inlineStr">
        <is>
          <t>Sensor wiring Dupont</t>
        </is>
      </c>
      <c r="G32" t="inlineStr">
        <is>
          <t>CARRELLO</t>
        </is>
      </c>
      <c r="H32" t="inlineStr">
        <is>
          <t>13-16 gen</t>
        </is>
      </c>
      <c r="I32" s="70" t="inlineStr">
        <is>
          <t>RICEVUTO</t>
        </is>
      </c>
      <c r="J32" s="71" t="inlineStr">
        <is>
          <t>14/01</t>
        </is>
      </c>
    </row>
    <row r="33">
      <c r="A33" s="2" t="inlineStr">
        <is>
          <t>✅</t>
        </is>
      </c>
      <c r="B33" t="inlineStr">
        <is>
          <t>AZDelivery Pi Zero Camera Cable 15cm</t>
        </is>
      </c>
      <c r="C33" s="7" t="n">
        <v>6.99</v>
      </c>
      <c r="D33" t="inlineStr">
        <is>
          <t>Amazon.it</t>
        </is>
      </c>
      <c r="E33" t="inlineStr">
        <is>
          <t>DA ORDINARE</t>
        </is>
      </c>
      <c r="F33" t="inlineStr">
        <is>
          <t>Flex ribbon for camera</t>
        </is>
      </c>
      <c r="G33" t="inlineStr">
        <is>
          <t>CARRELLO</t>
        </is>
      </c>
      <c r="H33" t="inlineStr">
        <is>
          <t>13-16 gen</t>
        </is>
      </c>
      <c r="I33" s="67" t="inlineStr">
        <is>
          <t>RESO</t>
        </is>
      </c>
      <c r="J33" s="71" t="inlineStr">
        <is>
          <t>Reso</t>
        </is>
      </c>
    </row>
    <row r="34">
      <c r="A34" s="2" t="inlineStr">
        <is>
          <t>✅</t>
        </is>
      </c>
      <c r="B34" t="inlineStr">
        <is>
          <t>AZDelivery 5x MG90S Metal Gear Servo</t>
        </is>
      </c>
      <c r="C34" s="7" t="n">
        <v>23.99</v>
      </c>
      <c r="D34" t="inlineStr">
        <is>
          <t>Amazon.it</t>
        </is>
      </c>
      <c r="E34" s="50" t="inlineStr">
        <is>
          <t>RICEVUTO</t>
        </is>
      </c>
      <c r="F34" t="inlineStr">
        <is>
          <t>Arm servos 13g (4+1)</t>
        </is>
      </c>
      <c r="G34" s="50" t="inlineStr">
        <is>
          <t>RICEVUTO</t>
        </is>
      </c>
      <c r="H34" t="inlineStr">
        <is>
          <t>13-16 gen</t>
        </is>
      </c>
      <c r="I34" s="70" t="inlineStr">
        <is>
          <t>RICEVUTO</t>
        </is>
      </c>
      <c r="J34" s="71" t="inlineStr">
        <is>
          <t>13/01</t>
        </is>
      </c>
    </row>
    <row r="35">
      <c r="A35" s="2" t="inlineStr">
        <is>
          <t>✅</t>
        </is>
      </c>
      <c r="B35" t="inlineStr">
        <is>
          <t>YINETTECH 4 Pezzi 25T Servo Horn</t>
        </is>
      </c>
      <c r="C35" s="7" t="n">
        <v>12.09</v>
      </c>
      <c r="D35" t="inlineStr">
        <is>
          <t>Amazon.it</t>
        </is>
      </c>
      <c r="E35" t="inlineStr">
        <is>
          <t>DA ORDINARE</t>
        </is>
      </c>
      <c r="F35" t="inlineStr">
        <is>
          <t>Aluminum servo horns</t>
        </is>
      </c>
      <c r="G35" t="inlineStr">
        <is>
          <t>CARRELLO</t>
        </is>
      </c>
      <c r="H35" t="inlineStr">
        <is>
          <t>13 gen</t>
        </is>
      </c>
      <c r="I35" s="70" t="inlineStr">
        <is>
          <t>RICEVUTO</t>
        </is>
      </c>
      <c r="J35" s="71" t="inlineStr">
        <is>
          <t>14/01</t>
        </is>
      </c>
    </row>
    <row r="36">
      <c r="A36" s="2" t="inlineStr">
        <is>
          <t>✅</t>
        </is>
      </c>
      <c r="B36" t="inlineStr">
        <is>
          <t>HUAZIZ 24 Pezzi Servo Extension</t>
        </is>
      </c>
      <c r="C36" s="7" t="n">
        <v>21.98</v>
      </c>
      <c r="D36" t="inlineStr">
        <is>
          <t>Amazon.it</t>
        </is>
      </c>
      <c r="E36" t="inlineStr">
        <is>
          <t>DA ORDINARE</t>
        </is>
      </c>
      <c r="F36" t="inlineStr">
        <is>
          <t>Servo cables (2 packs)</t>
        </is>
      </c>
      <c r="G36" t="inlineStr">
        <is>
          <t>CARRELLO</t>
        </is>
      </c>
      <c r="H36" t="inlineStr">
        <is>
          <t>13-16 gen</t>
        </is>
      </c>
      <c r="I36" s="70" t="inlineStr">
        <is>
          <t>RICEVUTO</t>
        </is>
      </c>
      <c r="J36" s="71" t="inlineStr">
        <is>
          <t>13/01</t>
        </is>
      </c>
    </row>
    <row r="37">
      <c r="A37" s="2" t="inlineStr">
        <is>
          <t>✅</t>
        </is>
      </c>
      <c r="B37" t="inlineStr">
        <is>
          <t>Set Saldatore 60W Temperature Control</t>
        </is>
      </c>
      <c r="C37" s="7" t="n">
        <v>18.99</v>
      </c>
      <c r="D37" t="inlineStr">
        <is>
          <t>Amazon.it</t>
        </is>
      </c>
      <c r="E37" t="inlineStr">
        <is>
          <t>DA ORDINARE</t>
        </is>
      </c>
      <c r="F37" t="inlineStr">
        <is>
          <t>Soldering station kit</t>
        </is>
      </c>
      <c r="G37" t="inlineStr">
        <is>
          <t>CARRELLO</t>
        </is>
      </c>
      <c r="H37" t="inlineStr">
        <is>
          <t>13-16 gen</t>
        </is>
      </c>
      <c r="I37" s="70" t="inlineStr">
        <is>
          <t>RICEVUTO</t>
        </is>
      </c>
      <c r="J37" s="71" t="inlineStr">
        <is>
          <t>14/01</t>
        </is>
      </c>
    </row>
    <row r="38">
      <c r="A38" s="2" t="inlineStr">
        <is>
          <t>✅</t>
        </is>
      </c>
      <c r="B38" s="8" t="inlineStr">
        <is>
          <t>FILO STAGNO 60/40 100gr 0.8mm</t>
        </is>
      </c>
      <c r="C38" s="9" t="n">
        <v>7.5</v>
      </c>
      <c r="D38" s="8" t="inlineStr">
        <is>
          <t>Amazon.it</t>
        </is>
      </c>
      <c r="E38" s="8" t="inlineStr">
        <is>
          <t>DA ORDINARE</t>
        </is>
      </c>
      <c r="F38" s="8" t="inlineStr">
        <is>
          <t>Leaded solder ✅ CORRECT</t>
        </is>
      </c>
      <c r="G38" s="8" t="inlineStr">
        <is>
          <t>CARRELLO</t>
        </is>
      </c>
      <c r="H38" s="8" t="inlineStr">
        <is>
          <t>16 gen</t>
        </is>
      </c>
      <c r="I38" s="66" t="inlineStr">
        <is>
          <t>IN ARRIVO</t>
        </is>
      </c>
      <c r="J38" s="71" t="inlineStr">
        <is>
          <t>20/01</t>
        </is>
      </c>
    </row>
    <row r="39">
      <c r="A39" s="2" t="inlineStr">
        <is>
          <t>✅</t>
        </is>
      </c>
      <c r="B39" t="inlineStr">
        <is>
          <t>Flux Pen 951 10ml No-Clean</t>
        </is>
      </c>
      <c r="C39" s="7" t="n">
        <v>3.87</v>
      </c>
      <c r="D39" t="inlineStr">
        <is>
          <t>Amazon.it</t>
        </is>
      </c>
      <c r="E39" t="inlineStr">
        <is>
          <t>DA ORDINARE</t>
        </is>
      </c>
      <c r="F39" t="inlineStr">
        <is>
          <t>Soldering flux pen</t>
        </is>
      </c>
      <c r="G39" t="inlineStr">
        <is>
          <t>CARRELLO</t>
        </is>
      </c>
      <c r="H39" t="inlineStr">
        <is>
          <t>6-12 feb</t>
        </is>
      </c>
      <c r="I39" s="66" t="inlineStr">
        <is>
          <t>IN ARRIVO</t>
        </is>
      </c>
      <c r="J39" s="71" t="inlineStr">
        <is>
          <t>6-12/02</t>
        </is>
      </c>
    </row>
    <row r="40">
      <c r="A40" s="2" t="inlineStr">
        <is>
          <t>✅</t>
        </is>
      </c>
      <c r="B40" s="8" t="inlineStr">
        <is>
          <t>EQM Isopropanolo 99.9% 1L</t>
        </is>
      </c>
      <c r="C40" s="9" t="n">
        <v>10.2</v>
      </c>
      <c r="D40" s="8" t="inlineStr">
        <is>
          <t>Amazon.it</t>
        </is>
      </c>
      <c r="E40" s="8" t="inlineStr">
        <is>
          <t>DA ORDINARE</t>
        </is>
      </c>
      <c r="F40" s="8" t="inlineStr">
        <is>
          <t>Electronics cleaning ✅</t>
        </is>
      </c>
      <c r="G40" s="8" t="inlineStr">
        <is>
          <t>CARRELLO</t>
        </is>
      </c>
      <c r="H40" s="8" t="inlineStr">
        <is>
          <t>13 gen</t>
        </is>
      </c>
      <c r="I40" s="70" t="inlineStr">
        <is>
          <t>RICEVUTO</t>
        </is>
      </c>
      <c r="J40" s="71" t="inlineStr">
        <is>
          <t>14/01</t>
        </is>
      </c>
    </row>
    <row r="41">
      <c r="A41" s="2" t="inlineStr">
        <is>
          <t>✅</t>
        </is>
      </c>
      <c r="B41" t="inlineStr">
        <is>
          <t>YUVKIN 5 Pezzi Nastro Kapton</t>
        </is>
      </c>
      <c r="C41" s="7" t="n">
        <v>7.99</v>
      </c>
      <c r="D41" t="inlineStr">
        <is>
          <t>Amazon.it</t>
        </is>
      </c>
      <c r="E41" t="inlineStr">
        <is>
          <t>DA ORDINARE</t>
        </is>
      </c>
      <c r="F41" t="inlineStr">
        <is>
          <t>Heat-resistant tape set</t>
        </is>
      </c>
      <c r="G41" t="inlineStr">
        <is>
          <t>CARRELLO</t>
        </is>
      </c>
      <c r="H41" t="inlineStr">
        <is>
          <t>13-16 gen</t>
        </is>
      </c>
      <c r="I41" s="70" t="inlineStr">
        <is>
          <t>RICEVUTO</t>
        </is>
      </c>
      <c r="J41" s="71" t="inlineStr">
        <is>
          <t>13/01</t>
        </is>
      </c>
    </row>
    <row r="42">
      <c r="A42" s="2" t="inlineStr">
        <is>
          <t>✅</t>
        </is>
      </c>
      <c r="B42" t="inlineStr">
        <is>
          <t>Gruiqrd Filo Silicone 16 gauge 5m</t>
        </is>
      </c>
      <c r="C42" s="7" t="n">
        <v>7.99</v>
      </c>
      <c r="D42" t="inlineStr">
        <is>
          <t>Amazon.it</t>
        </is>
      </c>
      <c r="E42" t="inlineStr">
        <is>
          <t>DA ORDINARE</t>
        </is>
      </c>
      <c r="F42" t="inlineStr">
        <is>
          <t>Power wiring silicone</t>
        </is>
      </c>
      <c r="G42" t="inlineStr">
        <is>
          <t>CARRELLO</t>
        </is>
      </c>
      <c r="H42" t="inlineStr">
        <is>
          <t>13-16 gen</t>
        </is>
      </c>
      <c r="I42" s="70" t="inlineStr">
        <is>
          <t>RICEVUTO</t>
        </is>
      </c>
      <c r="J42" s="71" t="inlineStr">
        <is>
          <t>13/01</t>
        </is>
      </c>
    </row>
    <row r="43">
      <c r="C43" s="10" t="inlineStr">
        <is>
          <t>TOTALE AMAZON #1:</t>
        </is>
      </c>
      <c r="D43" s="11" t="n">
        <v>530</v>
      </c>
      <c r="G43" s="12" t="inlineStr">
        <is>
          <t>ORDINATO 12/01</t>
        </is>
      </c>
    </row>
    <row r="45" ht="25.05" customHeight="1" s="34">
      <c r="A45" s="47" t="inlineStr">
        <is>
          <t>🛒 FASE 2B - AMAZON.IT ORDINE #2 (DA ORDINARE ORA)</t>
        </is>
      </c>
    </row>
    <row r="46">
      <c r="A46" s="6" t="inlineStr">
        <is>
          <t>✓</t>
        </is>
      </c>
      <c r="B46" s="6" t="inlineStr">
        <is>
          <t>Componente</t>
        </is>
      </c>
      <c r="C46" s="6" t="inlineStr">
        <is>
          <t>Prezzo €</t>
        </is>
      </c>
      <c r="D46" s="6" t="inlineStr">
        <is>
          <t>Fornitore</t>
        </is>
      </c>
      <c r="E46" s="6" t="inlineStr">
        <is>
          <t>Data Ordine</t>
        </is>
      </c>
      <c r="F46" s="6" t="inlineStr">
        <is>
          <t>Note</t>
        </is>
      </c>
      <c r="G46" s="6" t="inlineStr">
        <is>
          <t>Status</t>
        </is>
      </c>
      <c r="H46" s="6" t="inlineStr">
        <is>
          <t>Tracking</t>
        </is>
      </c>
    </row>
    <row r="47">
      <c r="A47" s="2" t="inlineStr">
        <is>
          <t>✅</t>
        </is>
      </c>
      <c r="B47" s="8" t="inlineStr">
        <is>
          <t>CABLEPELADO Porta batteria 18650 2S 7.4V</t>
        </is>
      </c>
      <c r="C47" s="9" t="n">
        <v>5.2</v>
      </c>
      <c r="D47" s="8" t="inlineStr">
        <is>
          <t>Amazon.it</t>
        </is>
      </c>
      <c r="E47" s="8" t="inlineStr">
        <is>
          <t>DA ORDINARE</t>
        </is>
      </c>
      <c r="F47" s="8" t="inlineStr">
        <is>
          <t>Battery holder for 2x 18650</t>
        </is>
      </c>
      <c r="G47" s="8" t="inlineStr">
        <is>
          <t>CARRELLO</t>
        </is>
      </c>
      <c r="H47" s="8" t="inlineStr">
        <is>
          <t>13-16 gen</t>
        </is>
      </c>
      <c r="I47" s="70" t="inlineStr">
        <is>
          <t>RICEVUTO</t>
        </is>
      </c>
      <c r="J47" s="71" t="inlineStr">
        <is>
          <t>13/01</t>
        </is>
      </c>
    </row>
    <row r="48">
      <c r="A48" s="2" t="inlineStr">
        <is>
          <t>✅</t>
        </is>
      </c>
      <c r="B48" s="8" t="inlineStr">
        <is>
          <t>Mini Interruttore ON/OFF 5pcs 10A/125V</t>
        </is>
      </c>
      <c r="C48" s="9" t="n">
        <v>5.68</v>
      </c>
      <c r="D48" s="8" t="inlineStr">
        <is>
          <t>Amazon.it</t>
        </is>
      </c>
      <c r="E48" s="8" t="inlineStr">
        <is>
          <t>DA ORDINARE</t>
        </is>
      </c>
      <c r="F48" s="8" t="inlineStr">
        <is>
          <t>Power switch for robot</t>
        </is>
      </c>
      <c r="G48" s="8" t="inlineStr">
        <is>
          <t>CARRELLO</t>
        </is>
      </c>
      <c r="H48" s="8" t="inlineStr">
        <is>
          <t>13-16 gen</t>
        </is>
      </c>
      <c r="I48" s="70" t="inlineStr">
        <is>
          <t>RICEVUTO</t>
        </is>
      </c>
      <c r="J48" s="71" t="inlineStr">
        <is>
          <t>13/01</t>
        </is>
      </c>
    </row>
    <row r="49">
      <c r="A49" s="2" t="inlineStr">
        <is>
          <t>✅</t>
        </is>
      </c>
      <c r="B49" s="8" t="inlineStr">
        <is>
          <t>Taiss Micro Limit Switch 10pcs KW11-3Z-02</t>
        </is>
      </c>
      <c r="C49" s="9" t="n">
        <v>10.44</v>
      </c>
      <c r="D49" s="8" t="inlineStr">
        <is>
          <t>Amazon.it</t>
        </is>
      </c>
      <c r="E49" s="8" t="inlineStr">
        <is>
          <t>DA ORDINARE</t>
        </is>
      </c>
      <c r="F49" s="8" t="inlineStr">
        <is>
          <t>Foot contact sensors (need 4)</t>
        </is>
      </c>
      <c r="G49" s="8" t="inlineStr">
        <is>
          <t>CARRELLO</t>
        </is>
      </c>
      <c r="H49" s="8" t="inlineStr">
        <is>
          <t>13-16 gen</t>
        </is>
      </c>
      <c r="I49" s="70" t="inlineStr">
        <is>
          <t>RICEVUTO</t>
        </is>
      </c>
      <c r="J49" s="71" t="inlineStr">
        <is>
          <t>13/01</t>
        </is>
      </c>
    </row>
    <row r="50">
      <c r="A50" s="2" t="inlineStr">
        <is>
          <t>✅</t>
        </is>
      </c>
      <c r="B50" s="8" t="inlineStr">
        <is>
          <t>ETOPARS 3mm Guaina Cavi Intrecciata 10m</t>
        </is>
      </c>
      <c r="C50" s="9" t="n">
        <v>8.789999999999999</v>
      </c>
      <c r="D50" s="8" t="inlineStr">
        <is>
          <t>Amazon.it</t>
        </is>
      </c>
      <c r="E50" s="8" t="inlineStr">
        <is>
          <t>DA ORDINARE</t>
        </is>
      </c>
      <c r="F50" s="8" t="inlineStr">
        <is>
          <t>Cable management sleeve</t>
        </is>
      </c>
      <c r="G50" s="8" t="inlineStr">
        <is>
          <t>CARRELLO</t>
        </is>
      </c>
      <c r="H50" s="8" t="inlineStr">
        <is>
          <t>16 gen</t>
        </is>
      </c>
      <c r="I50" s="66" t="inlineStr">
        <is>
          <t>IN ARRIVO</t>
        </is>
      </c>
      <c r="J50" s="71" t="inlineStr">
        <is>
          <t>15/01</t>
        </is>
      </c>
    </row>
    <row r="51">
      <c r="A51" s="2" t="inlineStr">
        <is>
          <t>✅</t>
        </is>
      </c>
      <c r="B51" s="8" t="inlineStr">
        <is>
          <t>Amazon PowerFast Micro USB 1.5m</t>
        </is>
      </c>
      <c r="C51" s="9" t="n">
        <v>9.99</v>
      </c>
      <c r="D51" s="8" t="inlineStr">
        <is>
          <t>Amazon.it</t>
        </is>
      </c>
      <c r="E51" s="8" t="inlineStr">
        <is>
          <t>DA ORDINARE</t>
        </is>
      </c>
      <c r="F51" s="8" t="inlineStr">
        <is>
          <t>Pi 4 usa USB-C, non micro-USB</t>
        </is>
      </c>
      <c r="G51" s="24" t="inlineStr">
        <is>
          <t>⚠️ DA RIMUOVERE</t>
        </is>
      </c>
      <c r="H51" s="8" t="inlineStr">
        <is>
          <t>13-16 gen</t>
        </is>
      </c>
      <c r="I51" s="67" t="inlineStr">
        <is>
          <t>RESO</t>
        </is>
      </c>
      <c r="J51" s="71" t="inlineStr">
        <is>
          <t>Reso</t>
        </is>
      </c>
    </row>
    <row r="52">
      <c r="C52" s="10" t="inlineStr">
        <is>
          <t>TOTALE AMAZON #2:</t>
        </is>
      </c>
      <c r="D52" s="13" t="n">
        <v>40.1</v>
      </c>
    </row>
    <row r="54" ht="25.05" customHeight="1" s="34">
      <c r="A54" s="42" t="inlineStr">
        <is>
          <t>🌍 FASE 3 - ORDINI ESTERNI PRIORITARI (ORDINA OGGI)</t>
        </is>
      </c>
    </row>
    <row r="55">
      <c r="A55" s="6" t="inlineStr">
        <is>
          <t>✓</t>
        </is>
      </c>
      <c r="B55" s="6" t="inlineStr">
        <is>
          <t>Componente</t>
        </is>
      </c>
      <c r="C55" s="6" t="inlineStr">
        <is>
          <t>Prezzo €</t>
        </is>
      </c>
      <c r="D55" s="6" t="inlineStr">
        <is>
          <t>Fornitore</t>
        </is>
      </c>
      <c r="E55" s="6" t="inlineStr">
        <is>
          <t>Data Ordine</t>
        </is>
      </c>
      <c r="F55" s="6" t="inlineStr">
        <is>
          <t>Note</t>
        </is>
      </c>
      <c r="G55" s="6" t="inlineStr">
        <is>
          <t>Status</t>
        </is>
      </c>
      <c r="H55" s="6" t="inlineStr">
        <is>
          <t>Tracking</t>
        </is>
      </c>
    </row>
    <row r="56">
      <c r="A56" s="14" t="inlineStr">
        <is>
          <t>⬜</t>
        </is>
      </c>
      <c r="B56" s="14" t="inlineStr">
        <is>
          <t>2× Molicel INR18650-P30B 3000mAh</t>
        </is>
      </c>
      <c r="C56" s="15" t="n">
        <v>15</v>
      </c>
      <c r="D56" s="14" t="inlineStr">
        <is>
          <t>Vape Shop Monza</t>
        </is>
      </c>
      <c r="E56" s="14" t="inlineStr">
        <is>
          <t>OGGI</t>
        </is>
      </c>
      <c r="F56" s="14" t="inlineStr">
        <is>
          <t>Ritiro immediato - controlla QR!</t>
        </is>
      </c>
      <c r="G56" s="14" t="inlineStr">
        <is>
          <t>DA ORDINARE</t>
        </is>
      </c>
      <c r="H56" s="14" t="inlineStr">
        <is>
          <t>Stesso giorno</t>
        </is>
      </c>
      <c r="I56" s="68" t="inlineStr">
        <is>
          <t>DA ORDINARE</t>
        </is>
      </c>
      <c r="J56" s="71" t="inlineStr">
        <is>
          <t>Vape Shop</t>
        </is>
      </c>
    </row>
    <row r="57">
      <c r="A57" s="14" t="inlineStr">
        <is>
          <t>⬜</t>
        </is>
      </c>
      <c r="B57" s="14" t="inlineStr">
        <is>
          <t>Raspberry Pi AI Camera IMX500 12MP</t>
        </is>
      </c>
      <c r="C57" s="15" t="n">
        <v>78</v>
      </c>
      <c r="D57" s="14" t="inlineStr">
        <is>
          <t>Pimoroni.uk</t>
        </is>
      </c>
      <c r="E57" s="14" t="inlineStr">
        <is>
          <t>OGGI</t>
        </is>
      </c>
      <c r="F57" s="14" t="inlineStr">
        <is>
          <t>On-sensor AI object detection</t>
        </is>
      </c>
      <c r="G57" s="14" t="inlineStr">
        <is>
          <t>DA ORDINARE</t>
        </is>
      </c>
      <c r="H57" s="14" t="inlineStr">
        <is>
          <t>5-7 giorni UK</t>
        </is>
      </c>
      <c r="I57" s="68" t="inlineStr">
        <is>
          <t>DA ORDINARE</t>
        </is>
      </c>
      <c r="J57" s="71" t="inlineStr">
        <is>
          <t>Pimoroni</t>
        </is>
      </c>
    </row>
    <row r="58">
      <c r="A58" s="2" t="inlineStr">
        <is>
          <t>✅</t>
        </is>
      </c>
      <c r="B58" s="14" t="inlineStr">
        <is>
          <t>FE-URT-1 USB-UART Servo Controller</t>
        </is>
      </c>
      <c r="C58" s="15" t="n">
        <v>12.9</v>
      </c>
      <c r="D58" s="14" t="inlineStr">
        <is>
          <t>AliExpress</t>
        </is>
      </c>
      <c r="E58" s="14" t="inlineStr">
        <is>
          <t>OGGI</t>
        </is>
      </c>
      <c r="F58" s="14" t="inlineStr">
        <is>
          <t>Half-duplex serial bus</t>
        </is>
      </c>
      <c r="G58" s="14" t="inlineStr">
        <is>
          <t>DA ORDINARE</t>
        </is>
      </c>
      <c r="H58" s="14" t="inlineStr">
        <is>
          <t>15-25 giorni</t>
        </is>
      </c>
      <c r="I58" s="66" t="inlineStr">
        <is>
          <t>IN ARRIVO</t>
        </is>
      </c>
      <c r="J58" s="71" t="inlineStr">
        <is>
          <t>~21/01</t>
        </is>
      </c>
    </row>
    <row r="59">
      <c r="C59" s="10" t="inlineStr">
        <is>
          <t>TOTALE ESTERNI:</t>
        </is>
      </c>
      <c r="D59" s="13">
        <f>SUM(D56:D58)</f>
        <v/>
      </c>
    </row>
    <row r="61" ht="25.05" customHeight="1" s="34">
      <c r="A61" s="47" t="inlineStr">
        <is>
          <t>⏳ FASE 4 - ATTESA CONFERMA FORNITORE (NON ORDINARE)</t>
        </is>
      </c>
    </row>
    <row r="62">
      <c r="A62" s="6" t="inlineStr">
        <is>
          <t>✓</t>
        </is>
      </c>
      <c r="B62" s="6" t="inlineStr">
        <is>
          <t>Componente</t>
        </is>
      </c>
      <c r="C62" s="6" t="inlineStr">
        <is>
          <t>Prezzo €</t>
        </is>
      </c>
      <c r="D62" s="6" t="inlineStr">
        <is>
          <t>Fornitore</t>
        </is>
      </c>
      <c r="E62" s="6" t="inlineStr">
        <is>
          <t>Data Ordine</t>
        </is>
      </c>
      <c r="F62" s="6" t="inlineStr">
        <is>
          <t>Note</t>
        </is>
      </c>
      <c r="G62" s="6" t="inlineStr">
        <is>
          <t>Status</t>
        </is>
      </c>
      <c r="H62" s="6" t="inlineStr">
        <is>
          <t>Tracking</t>
        </is>
      </c>
    </row>
    <row r="63">
      <c r="A63" s="16" t="inlineStr">
        <is>
          <t>⏳</t>
        </is>
      </c>
      <c r="B63" s="16" t="inlineStr">
        <is>
          <t>Email quotazione a info@eckstein-shop.de</t>
        </is>
      </c>
      <c r="C63" s="17" t="n">
        <v>0</v>
      </c>
      <c r="D63" s="16" t="inlineStr">
        <is>
          <t>Eckstein.de</t>
        </is>
      </c>
      <c r="E63" s="16" t="inlineStr">
        <is>
          <t>OGGI</t>
        </is>
      </c>
      <c r="F63" s="16" t="inlineStr">
        <is>
          <t>Richiesta prezzo 16× STS3215</t>
        </is>
      </c>
      <c r="G63" s="16" t="inlineStr">
        <is>
          <t>DA INVIARE</t>
        </is>
      </c>
      <c r="H63" s="16" t="inlineStr">
        <is>
          <t>Risposta 24-48h</t>
        </is>
      </c>
      <c r="I63" s="68" t="inlineStr">
        <is>
          <t>DA ORDINARE</t>
        </is>
      </c>
    </row>
    <row r="64">
      <c r="A64" s="16" t="inlineStr">
        <is>
          <t>⏳</t>
        </is>
      </c>
      <c r="B64" s="16" t="inlineStr">
        <is>
          <t>16× Feetech STS3215 Servo 7.4V 19kg·cm</t>
        </is>
      </c>
      <c r="C64" s="17" t="n">
        <v>400</v>
      </c>
      <c r="D64" s="16" t="inlineStr">
        <is>
          <t>Eckstein.de</t>
        </is>
      </c>
      <c r="E64" s="16" t="inlineStr">
        <is>
          <t>Dopo quote</t>
        </is>
      </c>
      <c r="F64" s="16" t="inlineStr">
        <is>
          <t>ATTENDI conferma disponibilità</t>
        </is>
      </c>
      <c r="G64" s="16" t="inlineStr">
        <is>
          <t>ATTESA RISPOSTA</t>
        </is>
      </c>
      <c r="H64" s="16" t="inlineStr">
        <is>
          <t>Stima 7 giorni</t>
        </is>
      </c>
      <c r="I64" s="68" t="inlineStr">
        <is>
          <t>DA ORDINARE</t>
        </is>
      </c>
      <c r="J64" s="71" t="inlineStr">
        <is>
          <t>Eckstein</t>
        </is>
      </c>
    </row>
    <row r="65">
      <c r="C65" s="18" t="inlineStr">
        <is>
          <t>STIMA ECKSTEIN:</t>
        </is>
      </c>
      <c r="D65" s="19" t="n">
        <v>400</v>
      </c>
    </row>
    <row r="67" ht="25.05" customHeight="1" s="34">
      <c r="A67" s="36" t="inlineStr">
        <is>
          <t>💡 FASE 5 - COMPONENTI OPZIONALI (NON URGENTE)</t>
        </is>
      </c>
    </row>
    <row r="68">
      <c r="A68" s="6" t="inlineStr">
        <is>
          <t>✓</t>
        </is>
      </c>
      <c r="B68" s="6" t="inlineStr">
        <is>
          <t>Componente</t>
        </is>
      </c>
      <c r="C68" s="6" t="inlineStr">
        <is>
          <t>Prezzo €</t>
        </is>
      </c>
      <c r="D68" s="6" t="inlineStr">
        <is>
          <t>Fornitore</t>
        </is>
      </c>
      <c r="E68" s="6" t="inlineStr">
        <is>
          <t>Data Ordine</t>
        </is>
      </c>
      <c r="F68" s="6" t="inlineStr">
        <is>
          <t>Note</t>
        </is>
      </c>
      <c r="G68" s="6" t="inlineStr">
        <is>
          <t>Status</t>
        </is>
      </c>
      <c r="H68" s="6" t="inlineStr">
        <is>
          <t>Tracking</t>
        </is>
      </c>
    </row>
    <row r="69">
      <c r="A69" s="51" t="inlineStr">
        <is>
          <t>💡</t>
        </is>
      </c>
      <c r="B69" s="51" t="inlineStr">
        <is>
          <t>2DOF Aluminum Robot Gripper Kit</t>
        </is>
      </c>
      <c r="C69" s="52" t="n">
        <v>27</v>
      </c>
      <c r="D69" s="51" t="inlineStr">
        <is>
          <t>AliExpress</t>
        </is>
      </c>
      <c r="E69" s="51" t="inlineStr">
        <is>
          <t>Dopo test</t>
        </is>
      </c>
      <c r="F69" s="51" t="inlineStr">
        <is>
          <t>15cm reach, 50g payload</t>
        </is>
      </c>
      <c r="G69" s="51" t="inlineStr">
        <is>
          <t>OPZIONALE</t>
        </is>
      </c>
      <c r="H69" s="51" t="inlineStr">
        <is>
          <t>RIMOSSO - 3D PRINT</t>
        </is>
      </c>
      <c r="I69" s="67" t="inlineStr">
        <is>
          <t>RIMOSSO</t>
        </is>
      </c>
      <c r="J69" s="71" t="inlineStr">
        <is>
          <t>3D Print</t>
        </is>
      </c>
    </row>
    <row r="70">
      <c r="A70" s="20" t="inlineStr">
        <is>
          <t>💡</t>
        </is>
      </c>
      <c r="B70" s="20" t="inlineStr">
        <is>
          <t>Dophee Glass Dome Cabochon 50mm (2pcs) - Robot Eyes</t>
        </is>
      </c>
      <c r="C70" s="21" t="inlineStr">
        <is>
          <t>11.99</t>
        </is>
      </c>
      <c r="D70" s="20" t="inlineStr">
        <is>
          <t>Amazon.it</t>
        </is>
      </c>
      <c r="E70" s="20" t="inlineStr">
        <is>
          <t>Dopo test</t>
        </is>
      </c>
      <c r="F70" s="20" t="inlineStr">
        <is>
          <t>Cosmetic eye effect</t>
        </is>
      </c>
      <c r="G70" s="20" t="inlineStr">
        <is>
          <t>OPZIONALE</t>
        </is>
      </c>
      <c r="H70" s="20" t="inlineStr">
        <is>
          <t>15-30 giorni</t>
        </is>
      </c>
      <c r="I70" s="66" t="inlineStr">
        <is>
          <t>IN ARRIVO</t>
        </is>
      </c>
      <c r="J70" s="71" t="inlineStr">
        <is>
          <t>16/01</t>
        </is>
      </c>
    </row>
    <row r="71">
      <c r="C71" s="10" t="inlineStr">
        <is>
          <t>TOTALE OPZIONALI:</t>
        </is>
      </c>
      <c r="D71" s="13">
        <f>SUM(D69:D70)</f>
        <v/>
      </c>
    </row>
    <row r="73" ht="18" customHeight="1" s="34">
      <c r="A73" s="46" t="inlineStr">
        <is>
          <t>BUDGET TOTALE PROGETTO OPENDUCK V3</t>
        </is>
      </c>
      <c r="D73" s="22">
        <f>D43+D52+D59+D65+D71+599</f>
        <v/>
      </c>
      <c r="E73" s="43" t="inlineStr">
        <is>
          <t>(Include QIDI)</t>
        </is>
      </c>
    </row>
    <row r="78" ht="15.75" customHeight="1" s="34">
      <c r="A78" s="23" t="inlineStr">
        <is>
          <t>ENGINEERING AUDIT SUMMARY - 2026-01-13</t>
        </is>
      </c>
    </row>
    <row r="79">
      <c r="A79" t="inlineStr">
        <is>
          <t>BOTTLENECK TROVATO:</t>
        </is>
      </c>
      <c r="B79" t="inlineStr">
        <is>
          <t>Pi Zero 2W CPU carico 47-83% (single core), potenza 5V rail marginal (1.3A vs 3A limite)</t>
        </is>
      </c>
      <c r="I79" s="67" t="inlineStr">
        <is>
          <t>RESO</t>
        </is>
      </c>
      <c r="J79" s="71" t="inlineStr">
        <is>
          <t>Reso</t>
        </is>
      </c>
    </row>
    <row r="80">
      <c r="A80" t="inlineStr">
        <is>
          <t>SOLUZIONE:</t>
        </is>
      </c>
      <c r="B80" t="inlineStr">
        <is>
          <t>Upgrade a Pi 4 4GB (3-4x più veloce, 4GB RAM vs 512MB)</t>
        </is>
      </c>
    </row>
    <row r="81">
      <c r="A81" t="inlineStr">
        <is>
          <t>COSTO UPGRADE:</t>
        </is>
      </c>
      <c r="B81" t="inlineStr">
        <is>
          <t>+€69.25 netto (€102.99 nuovi item - €33.79 rimossi)</t>
        </is>
      </c>
    </row>
    <row r="82">
      <c r="A82" t="inlineStr">
        <is>
          <t>TIMELINE IMPATTO:</t>
        </is>
      </c>
      <c r="B82" t="inlineStr">
        <is>
          <t>ZERO - stampa 3D è bottleneck (40-60h), Pi serve solo Phase 3</t>
        </is>
      </c>
    </row>
    <row r="83">
      <c r="A83" t="inlineStr">
        <is>
          <t>AZIONE RICHIESTA:</t>
        </is>
      </c>
      <c r="B83" t="inlineStr">
        <is>
          <t>1) Rimuovi Pi Zero 2W + micro-USB da carrello  2) Aggiungi Pi 4 + USB-C + case  3) Ordina</t>
        </is>
      </c>
      <c r="F83" t="inlineStr">
        <is>
          <t>Pi 4 usa USB-C, non micro-USB</t>
        </is>
      </c>
      <c r="G83" s="24" t="inlineStr">
        <is>
          <t>⚠️ DA RIMUOVERE</t>
        </is>
      </c>
    </row>
    <row r="88" ht="15.75" customHeight="1" s="34">
      <c r="A88" s="23" t="inlineStr">
        <is>
          <t>ENGINEERING AUDIT SUMMARY - 2026-01-13</t>
        </is>
      </c>
    </row>
    <row r="89">
      <c r="A89" t="inlineStr">
        <is>
          <t>BOTTLENECK TROVATO:</t>
        </is>
      </c>
      <c r="B89" t="inlineStr">
        <is>
          <t>Pi Zero 2W CPU carico 47-83% (single core), potenza 5V rail marginal (1.3A vs 3A limite)</t>
        </is>
      </c>
      <c r="I89" s="67" t="inlineStr">
        <is>
          <t>RESO</t>
        </is>
      </c>
      <c r="J89" s="71" t="inlineStr">
        <is>
          <t>Reso</t>
        </is>
      </c>
    </row>
    <row r="90">
      <c r="A90" t="inlineStr">
        <is>
          <t>SOLUZIONE:</t>
        </is>
      </c>
      <c r="B90" t="inlineStr">
        <is>
          <t>Upgrade a Pi 4 4GB (3-4x più veloce, 4GB RAM vs 512MB)</t>
        </is>
      </c>
    </row>
    <row r="91">
      <c r="A91" t="inlineStr">
        <is>
          <t>COSTO UPGRADE:</t>
        </is>
      </c>
      <c r="B91" t="inlineStr">
        <is>
          <t>+€69.25 netto (€102.99 nuovi item - €33.79 rimossi)</t>
        </is>
      </c>
    </row>
    <row r="92">
      <c r="A92" t="inlineStr">
        <is>
          <t>TIMELINE IMPATTO:</t>
        </is>
      </c>
      <c r="B92" t="inlineStr">
        <is>
          <t>ZERO - stampa 3D è bottleneck (40-60h), Pi serve solo Phase 3</t>
        </is>
      </c>
    </row>
    <row r="93">
      <c r="A93" t="inlineStr">
        <is>
          <t>AZIONE RICHIESTA:</t>
        </is>
      </c>
      <c r="B93" t="inlineStr">
        <is>
          <t>1) Rimuovi Pi Zero 2W + micro-USB da carrello  2) Aggiungi Pi 4 + USB-C + case  3) Ordina</t>
        </is>
      </c>
      <c r="F93" t="inlineStr">
        <is>
          <t>Pi 4 usa USB-C, non micro-USB</t>
        </is>
      </c>
      <c r="G93" s="24" t="inlineStr">
        <is>
          <t>⚠️ DA RIMUOVERE</t>
        </is>
      </c>
    </row>
    <row r="96" ht="15.75" customHeight="1" s="34">
      <c r="A96" s="39" t="inlineStr">
        <is>
          <t>➕ ITEMS DA AGGIUNGERE AL CARRELLO</t>
        </is>
      </c>
    </row>
    <row r="97">
      <c r="A97" s="25" t="inlineStr">
        <is>
          <t>✓</t>
        </is>
      </c>
      <c r="B97" s="25" t="inlineStr">
        <is>
          <t>Componente</t>
        </is>
      </c>
      <c r="C97" s="25" t="inlineStr">
        <is>
          <t>Prezzo €</t>
        </is>
      </c>
      <c r="D97" s="25" t="inlineStr">
        <is>
          <t>Fornitore</t>
        </is>
      </c>
      <c r="E97" s="25" t="inlineStr">
        <is>
          <t>Data Ordine</t>
        </is>
      </c>
      <c r="F97" s="25" t="inlineStr">
        <is>
          <t>Note</t>
        </is>
      </c>
      <c r="G97" s="25" t="inlineStr">
        <is>
          <t>Status</t>
        </is>
      </c>
      <c r="H97" s="25" t="inlineStr">
        <is>
          <t>Tracking</t>
        </is>
      </c>
    </row>
    <row r="98">
      <c r="A98" t="inlineStr">
        <is>
          <t>➕</t>
        </is>
      </c>
      <c r="B98" s="26" t="inlineStr">
        <is>
          <t>Raspberry Pi 4 Model B 4GB RAM</t>
        </is>
      </c>
      <c r="C98" t="n">
        <v>76.59999999999999</v>
      </c>
      <c r="D98" t="inlineStr">
        <is>
          <t>Amazon.it</t>
        </is>
      </c>
      <c r="E98" t="inlineStr">
        <is>
          <t>DA ORDINARE</t>
        </is>
      </c>
      <c r="F98" t="inlineStr">
        <is>
          <t>🔄 UPGRADE: 3-4× CPU più veloce, 8× RAM. Elimina bottleneck rilevato</t>
        </is>
      </c>
      <c r="G98" t="inlineStr">
        <is>
          <t>CARRELLO</t>
        </is>
      </c>
      <c r="H98" t="inlineStr">
        <is>
          <t>13-16 gen</t>
        </is>
      </c>
      <c r="I98" s="70" t="inlineStr">
        <is>
          <t>RICEVUTO</t>
        </is>
      </c>
      <c r="J98" s="71" t="inlineStr">
        <is>
          <t>14/01</t>
        </is>
      </c>
    </row>
    <row r="99">
      <c r="A99" t="inlineStr">
        <is>
          <t>➕</t>
        </is>
      </c>
      <c r="B99" s="26" t="inlineStr">
        <is>
          <t>Alimentatore USB-C 5V 3A per Raspberry Pi 4</t>
        </is>
      </c>
      <c r="C99" t="n">
        <v>13.25</v>
      </c>
      <c r="D99" t="inlineStr">
        <is>
          <t>Amazon.it</t>
        </is>
      </c>
      <c r="E99" t="inlineStr">
        <is>
          <t>DA ORDINARE</t>
        </is>
      </c>
      <c r="F99" t="inlineStr">
        <is>
          <t>🔄 NECESSARIO: Pi 4 usa USB-C, non micro-USB</t>
        </is>
      </c>
      <c r="G99" t="inlineStr">
        <is>
          <t>CARRELLO</t>
        </is>
      </c>
      <c r="H99" t="inlineStr">
        <is>
          <t>13-16 gen</t>
        </is>
      </c>
      <c r="I99" s="70" t="inlineStr">
        <is>
          <t>RICEVUTO</t>
        </is>
      </c>
      <c r="J99" s="71" t="inlineStr">
        <is>
          <t>14/01</t>
        </is>
      </c>
    </row>
    <row r="100">
      <c r="A100" t="inlineStr">
        <is>
          <t>➕</t>
        </is>
      </c>
      <c r="B100" s="26" t="inlineStr">
        <is>
          <t>Case Alluminio + Dissipatore Passivo Raspberry Pi 4</t>
        </is>
      </c>
      <c r="C100" t="n">
        <v>13.19</v>
      </c>
      <c r="D100" t="inlineStr">
        <is>
          <t>Amazon.it</t>
        </is>
      </c>
      <c r="E100" t="inlineStr">
        <is>
          <t>DA ORDINARE</t>
        </is>
      </c>
      <c r="F100" t="inlineStr">
        <is>
          <t>🔄 RACCOMANDATO: Previene thermal throttling (80°C limit). Mantiene 65°C</t>
        </is>
      </c>
      <c r="G100" t="inlineStr">
        <is>
          <t>CARRELLO</t>
        </is>
      </c>
      <c r="H100" t="inlineStr">
        <is>
          <t>13-16 gen</t>
        </is>
      </c>
      <c r="I100" s="70" t="inlineStr">
        <is>
          <t>RICEVUTO</t>
        </is>
      </c>
      <c r="J100" s="71" t="inlineStr">
        <is>
          <t>14/01</t>
        </is>
      </c>
    </row>
    <row r="101">
      <c r="A101" t="inlineStr">
        <is>
          <t>➕</t>
        </is>
      </c>
      <c r="B101" s="26" t="inlineStr">
        <is>
          <t>PCA9685 PWM Driver Board 16-Ch I2C (2pcs) - GERUI</t>
        </is>
      </c>
      <c r="C101" t="n">
        <v>10.09</v>
      </c>
      <c r="D101" t="inlineStr">
        <is>
          <t>Amazon.it</t>
        </is>
      </c>
      <c r="E101" s="50" t="inlineStr">
        <is>
          <t>RICEVUTO</t>
        </is>
      </c>
      <c r="F101" t="inlineStr">
        <is>
          <t>⚠️ MANCANTE: Controller I2C per 4× MG90S servos (braccia). Address 0x40</t>
        </is>
      </c>
      <c r="G101" s="50" t="inlineStr">
        <is>
          <t>RICEVUTO</t>
        </is>
      </c>
      <c r="H101" t="inlineStr">
        <is>
          <t>13-16 gen</t>
        </is>
      </c>
      <c r="I101" s="70" t="inlineStr">
        <is>
          <t>RICEVUTO</t>
        </is>
      </c>
      <c r="J101" s="71" t="inlineStr">
        <is>
          <t>15/01</t>
        </is>
      </c>
    </row>
    <row r="104" ht="18" customHeight="1" s="34">
      <c r="A104" s="44" t="inlineStr">
        <is>
          <t>📋 RECAP COMPLETO MODIFICHE - ACQUISTO UNICO DOMANI</t>
        </is>
      </c>
    </row>
    <row r="106">
      <c r="A106" s="38" t="inlineStr">
        <is>
          <t>❌ STEP 1: RIMUOVI DAL CARRELLO AMAZON</t>
        </is>
      </c>
    </row>
    <row r="107">
      <c r="A107" s="27" t="inlineStr">
        <is>
          <t>⚠️ Raspberry Pi Zero 2W</t>
        </is>
      </c>
      <c r="B107" t="inlineStr">
        <is>
          <t>€23.80</t>
        </is>
      </c>
      <c r="C107" t="inlineStr">
        <is>
          <t>CPU insufficiente (47-83% carico single core)</t>
        </is>
      </c>
    </row>
    <row r="108">
      <c r="A108" s="27" t="inlineStr">
        <is>
          <t>⚠️ Amazon PowerFast Micro USB 1.5m</t>
        </is>
      </c>
      <c r="B108" t="inlineStr">
        <is>
          <t>€9.99</t>
        </is>
      </c>
      <c r="C108" t="inlineStr">
        <is>
          <t>Pi 4 non usa micro-USB, usa USB-C</t>
        </is>
      </c>
    </row>
    <row r="109">
      <c r="A109" s="27" t="n"/>
    </row>
    <row r="110">
      <c r="A110" s="26" t="inlineStr">
        <is>
          <t>TOTALE DA RIMUOVERE:</t>
        </is>
      </c>
      <c r="B110" s="28" t="inlineStr">
        <is>
          <t>-€33.79</t>
        </is>
      </c>
    </row>
    <row r="112">
      <c r="A112" s="45" t="inlineStr">
        <is>
          <t>✅ STEP 2: AGGIUNGI AL CARRELLO AMAZON</t>
        </is>
      </c>
    </row>
    <row r="113">
      <c r="A113" s="29" t="inlineStr">
        <is>
          <t>✅ Raspberry Pi 4 Model B 4GB</t>
        </is>
      </c>
      <c r="B113" t="inlineStr">
        <is>
          <t>€76.60</t>
        </is>
      </c>
      <c r="C113" t="inlineStr">
        <is>
          <t>3-4× più veloce, 8× RAM vs Pi Zero 2W</t>
        </is>
      </c>
    </row>
    <row r="114">
      <c r="A114" s="29" t="inlineStr">
        <is>
          <t>✅ Alimentatore USB-C 5V 3A</t>
        </is>
      </c>
      <c r="B114" t="inlineStr">
        <is>
          <t>€13.25</t>
        </is>
      </c>
      <c r="C114" t="inlineStr">
        <is>
          <t>Alimentazione corretta per Pi 4</t>
        </is>
      </c>
    </row>
    <row r="115">
      <c r="A115" s="29" t="inlineStr">
        <is>
          <t>✅ Case Alluminio + Dissipatore</t>
        </is>
      </c>
      <c r="B115" t="inlineStr">
        <is>
          <t>€13.19</t>
        </is>
      </c>
      <c r="C115" t="inlineStr">
        <is>
          <t>Previene throttling termico (80°C)</t>
        </is>
      </c>
    </row>
    <row r="116">
      <c r="A116" s="29" t="inlineStr">
        <is>
          <t>✅ PCA9685 PWM Driver (2pcs)</t>
        </is>
      </c>
      <c r="B116" t="inlineStr">
        <is>
          <t>€10.09</t>
        </is>
      </c>
      <c r="C116" t="inlineStr">
        <is>
          <t>Controller I2C per servos braccia</t>
        </is>
      </c>
    </row>
    <row r="117">
      <c r="A117" s="29" t="n"/>
    </row>
    <row r="118">
      <c r="A118" s="26" t="inlineStr">
        <is>
          <t>TOTALE DA AGGIUNGERE:</t>
        </is>
      </c>
      <c r="B118" s="30" t="inlineStr">
        <is>
          <t>+€113.13</t>
        </is>
      </c>
    </row>
    <row r="120">
      <c r="A120" s="49" t="inlineStr">
        <is>
          <t>💰 RIEPILOGO COSTI FINALI</t>
        </is>
      </c>
    </row>
    <row r="121">
      <c r="A121" t="inlineStr">
        <is>
          <t>Items rimossi:</t>
        </is>
      </c>
      <c r="B121" t="inlineStr">
        <is>
          <t>-€33.79</t>
        </is>
      </c>
    </row>
    <row r="122">
      <c r="A122" t="inlineStr">
        <is>
          <t>Items aggiunti:</t>
        </is>
      </c>
      <c r="B122" t="inlineStr">
        <is>
          <t>+€113.13</t>
        </is>
      </c>
    </row>
    <row r="124" ht="15.75" customHeight="1" s="34">
      <c r="A124" s="23" t="inlineStr">
        <is>
          <t>COSTO NETTO UPGRADE:</t>
        </is>
      </c>
      <c r="B124" s="31" t="inlineStr">
        <is>
          <t>+€79.34</t>
        </is>
      </c>
    </row>
    <row r="126">
      <c r="A126" s="48" t="inlineStr">
        <is>
          <t>🔍 PERCHÉ QUESTO UPGRADE?</t>
        </is>
      </c>
    </row>
    <row r="127">
      <c r="A127" s="26" t="inlineStr">
        <is>
          <t>1. BOTTLENECK CPU:</t>
        </is>
      </c>
      <c r="B127" s="32" t="inlineStr">
        <is>
          <t>Pi Zero 2W carico 47-83% single core (rischio RL policy)</t>
        </is>
      </c>
    </row>
    <row r="128">
      <c r="A128" s="26" t="inlineStr">
        <is>
          <t>2. POTENZA MARGINALE:</t>
        </is>
      </c>
      <c r="B128" s="32" t="inlineStr">
        <is>
          <t>5V rail 1.3A picco vs 3A UBEC limit (con braccia)</t>
        </is>
      </c>
    </row>
    <row r="129">
      <c r="A129" s="26" t="inlineStr">
        <is>
          <t>3. COMPONENTE MANCANTE:</t>
        </is>
      </c>
      <c r="B129" s="32" t="inlineStr">
        <is>
          <t>PCA9685 necessario per controllare 4× MG90S braccia</t>
        </is>
      </c>
      <c r="I129" s="50" t="inlineStr">
        <is>
          <t>RICEVUTO</t>
        </is>
      </c>
      <c r="J129" s="71" t="inlineStr">
        <is>
          <t>15/01</t>
        </is>
      </c>
    </row>
    <row r="130">
      <c r="A130" s="26" t="inlineStr">
        <is>
          <t>4. TIMING:</t>
        </is>
      </c>
      <c r="B130" s="32" t="inlineStr">
        <is>
          <t>ZERO impatto - stampa 3D bottleneck (40-60h)</t>
        </is>
      </c>
    </row>
    <row r="131">
      <c r="A131" s="26" t="inlineStr">
        <is>
          <t>5. INVESTIMENTO:</t>
        </is>
      </c>
      <c r="B131" s="32" t="inlineStr">
        <is>
          <t>€79 ora vs €78+ dopo se fallisce + tempo perso</t>
        </is>
      </c>
    </row>
    <row r="134" ht="15.75" customHeight="1" s="34">
      <c r="A134" s="40" t="inlineStr">
        <is>
          <t>🛒 PIANO AZIONE ACQUISTO DOMANI (14 GENNAIO)</t>
        </is>
      </c>
    </row>
    <row r="135">
      <c r="A135" s="26" t="inlineStr">
        <is>
          <t>1.</t>
        </is>
      </c>
      <c r="B135" t="inlineStr">
        <is>
          <t>Apri Amazon.it carrello</t>
        </is>
      </c>
    </row>
    <row r="136">
      <c r="A136" s="26" t="inlineStr">
        <is>
          <t>2.</t>
        </is>
      </c>
      <c r="B136" t="inlineStr">
        <is>
          <t>RIMUOVI: Raspberry Pi Zero 2W (€23.80)</t>
        </is>
      </c>
    </row>
    <row r="137">
      <c r="A137" s="26" t="inlineStr">
        <is>
          <t>3.</t>
        </is>
      </c>
      <c r="B137" t="inlineStr">
        <is>
          <t>RIMUOVI: Amazon PowerFast Micro USB (€9.99)</t>
        </is>
      </c>
    </row>
    <row r="138">
      <c r="A138" s="26" t="inlineStr">
        <is>
          <t>4.</t>
        </is>
      </c>
      <c r="B138" t="inlineStr">
        <is>
          <t>AGGIUNGI: Raspberry Pi 4 Model B 4GB (cerca 'Raspberry Pi 4 4GB')</t>
        </is>
      </c>
      <c r="I138" s="50" t="inlineStr">
        <is>
          <t>RICEVUTO</t>
        </is>
      </c>
      <c r="J138" s="71" t="inlineStr">
        <is>
          <t>14/01</t>
        </is>
      </c>
    </row>
    <row r="139">
      <c r="A139" s="26" t="inlineStr">
        <is>
          <t>5.</t>
        </is>
      </c>
      <c r="B139" t="inlineStr">
        <is>
          <t>AGGIUNGI: Alimentatore USB-C 5V 3A (cerca 'Raspberry Pi 4 alimentatore USB-C')</t>
        </is>
      </c>
      <c r="I139" s="50" t="inlineStr">
        <is>
          <t>RICEVUTO</t>
        </is>
      </c>
      <c r="J139" s="71" t="inlineStr">
        <is>
          <t>14/01</t>
        </is>
      </c>
    </row>
    <row r="140">
      <c r="A140" s="26" t="inlineStr">
        <is>
          <t>6.</t>
        </is>
      </c>
      <c r="B140" t="inlineStr">
        <is>
          <t>AGGIUNGI: Case alluminio + dissipatore (cerca 'Raspberry Pi 4 case alluminio')</t>
        </is>
      </c>
      <c r="I140" s="50" t="inlineStr">
        <is>
          <t>RICEVUTO</t>
        </is>
      </c>
      <c r="J140" s="71" t="inlineStr">
        <is>
          <t>14/01</t>
        </is>
      </c>
    </row>
    <row r="141">
      <c r="A141" s="26" t="inlineStr">
        <is>
          <t>7.</t>
        </is>
      </c>
      <c r="B141" t="inlineStr">
        <is>
          <t>AGGIUNGI: PCA9685 PWM Driver (cerca 'GERUI PCA9685 PWM' - €10.09)</t>
        </is>
      </c>
      <c r="I141" s="50" t="inlineStr">
        <is>
          <t>RICEVUTO</t>
        </is>
      </c>
      <c r="J141" s="71" t="inlineStr">
        <is>
          <t>15/01</t>
        </is>
      </c>
    </row>
    <row r="142">
      <c r="A142" s="26" t="inlineStr">
        <is>
          <t>8.</t>
        </is>
      </c>
      <c r="B142" t="inlineStr">
        <is>
          <t>Verifica totale carrello = Budget originale + €79.34</t>
        </is>
      </c>
    </row>
    <row r="143">
      <c r="A143" s="26" t="inlineStr">
        <is>
          <t>9.</t>
        </is>
      </c>
      <c r="B143" t="inlineStr">
        <is>
          <t>Procedi checkout</t>
        </is>
      </c>
    </row>
    <row r="145">
      <c r="A145" s="28" t="inlineStr">
        <is>
          <t>RISULTATO:</t>
        </is>
      </c>
      <c r="B145" s="28" t="inlineStr">
        <is>
          <t>Hardware ottimizzato, ZERO rischi, pronto per build!</t>
        </is>
      </c>
    </row>
    <row r="147" ht="15.75" customHeight="1" s="34">
      <c r="A147" s="39" t="inlineStr">
        <is>
          <t>✅ TRACKER PRONTO - ACQUISTO UNICO DOMANI COMPLETO - ZERO RISCHI HARDWARE</t>
        </is>
      </c>
    </row>
    <row r="150">
      <c r="A150" s="53">
        <f>== 3D PRINTED GRIPPER (APPROVED) ===</f>
        <v/>
      </c>
    </row>
    <row r="151">
      <c r="A151" s="54" t="inlineStr">
        <is>
          <t>Component</t>
        </is>
      </c>
      <c r="B151" s="54" t="inlineStr">
        <is>
          <t>Source</t>
        </is>
      </c>
      <c r="C151" s="54" t="inlineStr">
        <is>
          <t>Cost</t>
        </is>
      </c>
      <c r="D151" s="54" t="inlineStr">
        <is>
          <t>Status</t>
        </is>
      </c>
      <c r="E151" s="54" t="inlineStr">
        <is>
          <t>Notes</t>
        </is>
      </c>
    </row>
    <row r="152">
      <c r="A152" t="inlineStr">
        <is>
          <t>MG90S Servos (5x)</t>
        </is>
      </c>
      <c r="B152" t="inlineStr">
        <is>
          <t>Amazon.it</t>
        </is>
      </c>
      <c r="C152" t="inlineStr">
        <is>
          <t>€23.99</t>
        </is>
      </c>
      <c r="D152" s="50" t="inlineStr">
        <is>
          <t>RICEVUTO</t>
        </is>
      </c>
      <c r="E152" t="inlineStr">
        <is>
          <t>Already purchased &amp; received</t>
        </is>
      </c>
    </row>
    <row r="153">
      <c r="A153" t="inlineStr">
        <is>
          <t>3D Printed Gripper (2x)</t>
        </is>
      </c>
      <c r="B153" t="inlineStr">
        <is>
          <t>Thingiverse #5149951</t>
        </is>
      </c>
      <c r="C153" t="inlineStr">
        <is>
          <t>~€2-5</t>
        </is>
      </c>
      <c r="D153" s="55" t="inlineStr">
        <is>
          <t>DA STAMPARE</t>
        </is>
      </c>
      <c r="E153" t="inlineStr">
        <is>
          <t>Print with PLA+ 50% infill</t>
        </is>
      </c>
    </row>
    <row r="154">
      <c r="A154" t="inlineStr">
        <is>
          <t>M3x15mm Bolts + Nyloc Nuts</t>
        </is>
      </c>
      <c r="B154" t="inlineStr">
        <is>
          <t>Amazon.it</t>
        </is>
      </c>
      <c r="C154" t="inlineStr">
        <is>
          <t>~€3</t>
        </is>
      </c>
      <c r="D154" s="56" t="inlineStr">
        <is>
          <t>IN ORDINE</t>
        </is>
      </c>
      <c r="E154" t="inlineStr">
        <is>
          <t>May already have in hardware kit</t>
        </is>
      </c>
    </row>
    <row r="156">
      <c r="A156" s="57" t="inlineStr">
        <is>
          <t>Updated: 2026-01-14 19:20</t>
        </is>
      </c>
    </row>
    <row r="157">
      <c r="A157" s="58" t="inlineStr">
        <is>
          <t>Technical Review: APPROVED for 3D printing (lighter, cheaper, customizable)</t>
        </is>
      </c>
    </row>
    <row r="158">
      <c r="A158" t="n">
        <v>157</v>
      </c>
      <c r="B158" t="inlineStr">
        <is>
          <t>ZHITING UBEC 6V 3A Step-Down (for MG90S)</t>
        </is>
      </c>
      <c r="C158" t="n">
        <v>6.99</v>
      </c>
      <c r="D158" t="inlineStr">
        <is>
          <t>Amazon.it</t>
        </is>
      </c>
      <c r="E158" t="inlineStr">
        <is>
          <t>ORDINATO</t>
        </is>
      </c>
      <c r="F158" t="inlineStr">
        <is>
          <t>Dedicated power rail for 5x MG90S arm servos - 6V output for max torque</t>
        </is>
      </c>
    </row>
  </sheetData>
  <mergeCells count="19">
    <mergeCell ref="A9:H9"/>
    <mergeCell ref="A67:H67"/>
    <mergeCell ref="A45:H45"/>
    <mergeCell ref="A1:H1"/>
    <mergeCell ref="A61:H61"/>
    <mergeCell ref="A54:H54"/>
    <mergeCell ref="A120:H120"/>
    <mergeCell ref="A2:H2"/>
    <mergeCell ref="E73:H73"/>
    <mergeCell ref="A104:H104"/>
    <mergeCell ref="A126:H126"/>
    <mergeCell ref="A150:E150"/>
    <mergeCell ref="A73:C73"/>
    <mergeCell ref="A4:H4"/>
    <mergeCell ref="A106:H106"/>
    <mergeCell ref="A147:H147"/>
    <mergeCell ref="A134:H134"/>
    <mergeCell ref="A96:H96"/>
    <mergeCell ref="A112:H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2026-01-12T17:53:30Z</dcterms:created>
  <dcterms:modified xmlns:dcterms="http://purl.org/dc/terms/" xmlns:xsi="http://www.w3.org/2001/XMLSchema-instance" xsi:type="dcterms:W3CDTF">2026-01-14T22:47:42Z</dcterms:modified>
  <cp:lastModifiedBy>Matteo Panzeri</cp:lastModifiedBy>
</cp:coreProperties>
</file>